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taka\AppData\Local\Temp\claude\C--Users-ntaka-Documents-ClaudeCode-RaceCapture\74b0a30f-6a7a-4847-9751-4618905a2232\scratchpad\"/>
    </mc:Choice>
  </mc:AlternateContent>
  <xr:revisionPtr revIDLastSave="0" documentId="13_ncr:1_{C0CAB982-0DC2-4152-B8AE-DD117AF7EB58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使い方" sheetId="1" r:id="rId1"/>
    <sheet name="CN二輪車" sheetId="2" r:id="rId2"/>
    <sheet name="電動二輪" sheetId="3" r:id="rId3"/>
    <sheet name="CNグループⅢ" sheetId="4" r:id="rId4"/>
    <sheet name="昨年の実走（検証）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5" l="1"/>
  <c r="C8" i="5"/>
  <c r="D8" i="5" s="1"/>
  <c r="E7" i="5"/>
  <c r="C7" i="5"/>
  <c r="D7" i="5" s="1"/>
  <c r="E6" i="5"/>
  <c r="C6" i="5"/>
  <c r="D6" i="5" s="1"/>
  <c r="L24" i="4"/>
  <c r="B24" i="4"/>
  <c r="F24" i="4" s="1"/>
  <c r="B23" i="4"/>
  <c r="H23" i="4" s="1"/>
  <c r="B22" i="4"/>
  <c r="I21" i="4"/>
  <c r="J21" i="4" s="1"/>
  <c r="B21" i="4"/>
  <c r="L21" i="4" s="1"/>
  <c r="B20" i="4"/>
  <c r="F20" i="4" s="1"/>
  <c r="B19" i="4"/>
  <c r="H19" i="4" s="1"/>
  <c r="H18" i="4"/>
  <c r="G18" i="4"/>
  <c r="B18" i="4"/>
  <c r="M13" i="4"/>
  <c r="C24" i="4" s="1"/>
  <c r="M6" i="4"/>
  <c r="M12" i="4" s="1"/>
  <c r="H24" i="3"/>
  <c r="B24" i="3"/>
  <c r="D24" i="3" s="1"/>
  <c r="D23" i="3"/>
  <c r="B23" i="3"/>
  <c r="L23" i="3" s="1"/>
  <c r="I22" i="3"/>
  <c r="B22" i="3"/>
  <c r="F22" i="3" s="1"/>
  <c r="B21" i="3"/>
  <c r="H21" i="3" s="1"/>
  <c r="H20" i="3"/>
  <c r="G20" i="3"/>
  <c r="B20" i="3"/>
  <c r="B19" i="3"/>
  <c r="L19" i="3" s="1"/>
  <c r="B18" i="3"/>
  <c r="F18" i="3" s="1"/>
  <c r="M13" i="3"/>
  <c r="M6" i="3"/>
  <c r="M12" i="3" s="1"/>
  <c r="I24" i="2"/>
  <c r="B24" i="2"/>
  <c r="F24" i="2" s="1"/>
  <c r="B23" i="2"/>
  <c r="H23" i="2" s="1"/>
  <c r="G22" i="2"/>
  <c r="B22" i="2"/>
  <c r="H22" i="2" s="1"/>
  <c r="B21" i="2"/>
  <c r="L21" i="2" s="1"/>
  <c r="I20" i="2"/>
  <c r="G20" i="2"/>
  <c r="B20" i="2"/>
  <c r="F20" i="2" s="1"/>
  <c r="B19" i="2"/>
  <c r="H19" i="2" s="1"/>
  <c r="B18" i="2"/>
  <c r="M13" i="2"/>
  <c r="M6" i="2"/>
  <c r="M12" i="2" s="1"/>
  <c r="M14" i="2" s="1"/>
  <c r="I19" i="2" l="1"/>
  <c r="D22" i="2"/>
  <c r="G24" i="3"/>
  <c r="F19" i="4"/>
  <c r="G19" i="3"/>
  <c r="I19" i="3"/>
  <c r="J19" i="3" s="1"/>
  <c r="D21" i="2"/>
  <c r="G23" i="3"/>
  <c r="G21" i="2"/>
  <c r="I23" i="3"/>
  <c r="J23" i="3" s="1"/>
  <c r="F7" i="5"/>
  <c r="I21" i="2"/>
  <c r="J21" i="2" s="1"/>
  <c r="F23" i="4"/>
  <c r="M14" i="4"/>
  <c r="F6" i="5"/>
  <c r="M14" i="3"/>
  <c r="F8" i="5"/>
  <c r="K22" i="2"/>
  <c r="I23" i="2"/>
  <c r="J23" i="2" s="1"/>
  <c r="G24" i="2"/>
  <c r="G18" i="3"/>
  <c r="K20" i="3"/>
  <c r="I21" i="3"/>
  <c r="J21" i="3" s="1"/>
  <c r="G22" i="3"/>
  <c r="K22" i="4"/>
  <c r="I23" i="4"/>
  <c r="G24" i="4"/>
  <c r="K24" i="3"/>
  <c r="K18" i="4"/>
  <c r="I19" i="4"/>
  <c r="J19" i="4" s="1"/>
  <c r="G20" i="4"/>
  <c r="C18" i="2"/>
  <c r="L18" i="2"/>
  <c r="J19" i="2"/>
  <c r="H20" i="2"/>
  <c r="F21" i="2"/>
  <c r="C22" i="2"/>
  <c r="L22" i="2"/>
  <c r="H24" i="2"/>
  <c r="H18" i="3"/>
  <c r="F19" i="3"/>
  <c r="C20" i="3"/>
  <c r="L20" i="3"/>
  <c r="H22" i="3"/>
  <c r="F23" i="3"/>
  <c r="C24" i="3"/>
  <c r="L24" i="3"/>
  <c r="C18" i="4"/>
  <c r="D19" i="4" s="1"/>
  <c r="L18" i="4"/>
  <c r="H20" i="4"/>
  <c r="F21" i="4"/>
  <c r="C22" i="4"/>
  <c r="L22" i="4"/>
  <c r="J23" i="4"/>
  <c r="H24" i="4"/>
  <c r="K19" i="4"/>
  <c r="I20" i="4"/>
  <c r="J20" i="4" s="1"/>
  <c r="G21" i="4"/>
  <c r="K23" i="4"/>
  <c r="I24" i="4"/>
  <c r="F18" i="2"/>
  <c r="C19" i="2"/>
  <c r="G7" i="5" s="1"/>
  <c r="H7" i="5" s="1"/>
  <c r="L19" i="2"/>
  <c r="J20" i="2"/>
  <c r="H21" i="2"/>
  <c r="F22" i="2"/>
  <c r="C23" i="2"/>
  <c r="L23" i="2"/>
  <c r="J24" i="2"/>
  <c r="H19" i="3"/>
  <c r="F20" i="3"/>
  <c r="C21" i="3"/>
  <c r="L21" i="3"/>
  <c r="J22" i="3"/>
  <c r="H23" i="3"/>
  <c r="F24" i="3"/>
  <c r="F18" i="4"/>
  <c r="C19" i="4"/>
  <c r="L19" i="4"/>
  <c r="H21" i="4"/>
  <c r="F22" i="4"/>
  <c r="C23" i="4"/>
  <c r="L23" i="4"/>
  <c r="J24" i="4"/>
  <c r="G22" i="4"/>
  <c r="K24" i="4"/>
  <c r="K19" i="2"/>
  <c r="K23" i="2"/>
  <c r="G18" i="2"/>
  <c r="D23" i="2"/>
  <c r="K24" i="2"/>
  <c r="D21" i="3"/>
  <c r="C20" i="4"/>
  <c r="L20" i="4"/>
  <c r="H22" i="4"/>
  <c r="K18" i="2"/>
  <c r="D18" i="2"/>
  <c r="I18" i="2" s="1"/>
  <c r="J18" i="2" s="1"/>
  <c r="K21" i="3"/>
  <c r="K20" i="2"/>
  <c r="K18" i="3"/>
  <c r="K22" i="3"/>
  <c r="K20" i="4"/>
  <c r="H18" i="2"/>
  <c r="F19" i="2"/>
  <c r="C20" i="2"/>
  <c r="G8" i="5" s="1"/>
  <c r="H8" i="5" s="1"/>
  <c r="L20" i="2"/>
  <c r="F23" i="2"/>
  <c r="C24" i="2"/>
  <c r="L24" i="2"/>
  <c r="C18" i="3"/>
  <c r="L18" i="3"/>
  <c r="F21" i="3"/>
  <c r="C22" i="3"/>
  <c r="L22" i="3"/>
  <c r="K21" i="2"/>
  <c r="I22" i="2"/>
  <c r="J22" i="2" s="1"/>
  <c r="G23" i="2"/>
  <c r="D24" i="2"/>
  <c r="K19" i="3"/>
  <c r="G21" i="3"/>
  <c r="D22" i="3"/>
  <c r="G19" i="2"/>
  <c r="I20" i="3"/>
  <c r="J20" i="3" s="1"/>
  <c r="K23" i="3"/>
  <c r="I24" i="3"/>
  <c r="J24" i="3" s="1"/>
  <c r="G19" i="4"/>
  <c r="D20" i="4"/>
  <c r="K21" i="4"/>
  <c r="I22" i="4"/>
  <c r="J22" i="4" s="1"/>
  <c r="G23" i="4"/>
  <c r="C21" i="2"/>
  <c r="C19" i="3"/>
  <c r="C23" i="3"/>
  <c r="C21" i="4"/>
  <c r="D24" i="4" s="1"/>
  <c r="D21" i="4" l="1"/>
  <c r="D23" i="4"/>
  <c r="D20" i="2"/>
  <c r="D22" i="4"/>
  <c r="D19" i="2"/>
  <c r="D18" i="4"/>
  <c r="I18" i="4" s="1"/>
  <c r="J18" i="4" s="1"/>
  <c r="L17" i="2"/>
  <c r="K17" i="2"/>
  <c r="G6" i="5"/>
  <c r="H6" i="5" s="1"/>
  <c r="D18" i="3"/>
  <c r="K17" i="3" s="1"/>
  <c r="D19" i="3"/>
  <c r="L17" i="4"/>
  <c r="D20" i="3"/>
  <c r="K17" i="4" l="1"/>
  <c r="L17" i="3"/>
  <c r="I18" i="3"/>
  <c r="J1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EcoLogger</author>
  </authors>
  <commentList>
    <comment ref="M4" authorId="0" shapeId="0" xr:uid="{00000000-0006-0000-0100-000001000000}">
      <text>
        <r>
          <rPr>
            <sz val="11"/>
            <color theme="1"/>
            <rFont val="ＭＳ Ｐゴシック"/>
            <family val="2"/>
            <scheme val="minor"/>
          </rPr>
          <t>競技規則 第2章第1条第1項4（2026年）</t>
        </r>
      </text>
    </comment>
    <comment ref="M5" authorId="0" shapeId="0" xr:uid="{00000000-0006-0000-0100-000002000000}">
      <text>
        <r>
          <rPr>
            <sz val="11"/>
            <color theme="1"/>
            <rFont val="ＭＳ Ｐゴシック"/>
            <family val="2"/>
            <scheme val="minor"/>
          </rPr>
          <t>競技規則 第2章第1条第1項4（2026年）</t>
        </r>
      </text>
    </comment>
    <comment ref="M6" authorId="0" shapeId="0" xr:uid="{00000000-0006-0000-0100-000003000000}">
      <text>
        <r>
          <rPr>
            <sz val="11"/>
            <color theme="1"/>
            <rFont val="ＭＳ Ｐゴシック"/>
            <family val="2"/>
            <scheme val="minor"/>
          </rPr>
          <t>競技規則 第2章第1条第1項4（2026年）。小数点以下も規則の値</t>
        </r>
      </text>
    </comment>
    <comment ref="M7" authorId="0" shapeId="0" xr:uid="{00000000-0006-0000-0100-000004000000}">
      <text>
        <r>
          <rPr>
            <sz val="11"/>
            <color theme="1"/>
            <rFont val="ＭＳ Ｐゴシック"/>
            <family val="2"/>
            <scheme val="minor"/>
          </rPr>
          <t>制限タイムよりこれだけ早くゴールする。昨年のスーパーカブは約26秒早くゴールしていた（2025-10-12のGPX）。元の記録表は16:20（約7秒）</t>
        </r>
      </text>
    </comment>
    <comment ref="M8" authorId="0" shapeId="0" xr:uid="{00000000-0006-0000-0100-000005000000}">
      <text>
        <r>
          <rPr>
            <sz val="11"/>
            <color theme="1"/>
            <rFont val="ＭＳ Ｐゴシック"/>
            <family val="2"/>
            <scheme val="minor"/>
          </rPr>
          <t>ラインの間隔（直線距離）。コースウォークで測った値に書き換える。アプリの設定→ラインに出る「コントロール→スタート」の値。今は地図から拾ったおおよその位置</t>
        </r>
      </text>
    </comment>
    <comment ref="M9" authorId="0" shapeId="0" xr:uid="{00000000-0006-0000-0100-000006000000}">
      <text>
        <r>
          <rPr>
            <sz val="11"/>
            <color theme="1"/>
            <rFont val="ＭＳ Ｐゴシック"/>
            <family val="2"/>
            <scheme val="minor"/>
          </rPr>
          <t>ラインの間隔（直線距離）。コースウォークで測った値に書き換える。アプリの設定→ラインに出る「ゴール→コントロール」の値。今は地図から拾ったおおよその位置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EcoLogger</author>
  </authors>
  <commentList>
    <comment ref="M4" authorId="0" shapeId="0" xr:uid="{00000000-0006-0000-0200-000001000000}">
      <text>
        <r>
          <rPr>
            <sz val="11"/>
            <color theme="1"/>
            <rFont val="ＭＳ Ｐゴシック"/>
            <family val="2"/>
            <scheme val="minor"/>
          </rPr>
          <t>競技規則 第2章第1条第1項4（2026年）</t>
        </r>
      </text>
    </comment>
    <comment ref="M5" authorId="0" shapeId="0" xr:uid="{00000000-0006-0000-0200-000002000000}">
      <text>
        <r>
          <rPr>
            <sz val="11"/>
            <color theme="1"/>
            <rFont val="ＭＳ Ｐゴシック"/>
            <family val="2"/>
            <scheme val="minor"/>
          </rPr>
          <t>競技規則 第2章第1条第1項4（2026年）</t>
        </r>
      </text>
    </comment>
    <comment ref="M6" authorId="0" shapeId="0" xr:uid="{00000000-0006-0000-0200-000003000000}">
      <text>
        <r>
          <rPr>
            <sz val="11"/>
            <color theme="1"/>
            <rFont val="ＭＳ Ｐゴシック"/>
            <family val="2"/>
            <scheme val="minor"/>
          </rPr>
          <t>競技規則 第2章第1条第1項4（2026年）。小数点以下も規則の値</t>
        </r>
      </text>
    </comment>
    <comment ref="M7" authorId="0" shapeId="0" xr:uid="{00000000-0006-0000-0200-000004000000}">
      <text>
        <r>
          <rPr>
            <sz val="11"/>
            <color theme="1"/>
            <rFont val="ＭＳ Ｐゴシック"/>
            <family val="2"/>
            <scheme val="minor"/>
          </rPr>
          <t>制限タイムよりこれだけ早くゴールする。昨年のスーパーカブは約26秒早くゴールしていた（2025-10-12のGPX）。元の記録表は16:20（約7秒）</t>
        </r>
      </text>
    </comment>
    <comment ref="M8" authorId="0" shapeId="0" xr:uid="{00000000-0006-0000-0200-000005000000}">
      <text>
        <r>
          <rPr>
            <sz val="11"/>
            <color theme="1"/>
            <rFont val="ＭＳ Ｐゴシック"/>
            <family val="2"/>
            <scheme val="minor"/>
          </rPr>
          <t>ラインの間隔（直線距離）。コースウォークで測った値に書き換える。アプリの設定→ラインに出る「コントロール→スタート」の値。今は地図から拾ったおおよその位置</t>
        </r>
      </text>
    </comment>
    <comment ref="M9" authorId="0" shapeId="0" xr:uid="{00000000-0006-0000-0200-000006000000}">
      <text>
        <r>
          <rPr>
            <sz val="11"/>
            <color theme="1"/>
            <rFont val="ＭＳ Ｐゴシック"/>
            <family val="2"/>
            <scheme val="minor"/>
          </rPr>
          <t>ラインの間隔（直線距離）。コースウォークで測った値に書き換える。アプリの設定→ラインに出る「ゴール→コントロール」の値。今は地図から拾ったおおよその位置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EcoLogger</author>
  </authors>
  <commentList>
    <comment ref="M4" authorId="0" shapeId="0" xr:uid="{00000000-0006-0000-0300-000001000000}">
      <text>
        <r>
          <rPr>
            <sz val="11"/>
            <color theme="1"/>
            <rFont val="ＭＳ Ｐゴシック"/>
            <family val="2"/>
            <scheme val="minor"/>
          </rPr>
          <t>競技規則 第2章第1条第1項4（2026年）</t>
        </r>
      </text>
    </comment>
    <comment ref="M5" authorId="0" shapeId="0" xr:uid="{00000000-0006-0000-0300-000002000000}">
      <text>
        <r>
          <rPr>
            <sz val="11"/>
            <color theme="1"/>
            <rFont val="ＭＳ Ｐゴシック"/>
            <family val="2"/>
            <scheme val="minor"/>
          </rPr>
          <t>競技規則 第2章第1条第1項4（2026年）</t>
        </r>
      </text>
    </comment>
    <comment ref="M6" authorId="0" shapeId="0" xr:uid="{00000000-0006-0000-0300-000003000000}">
      <text>
        <r>
          <rPr>
            <sz val="11"/>
            <color theme="1"/>
            <rFont val="ＭＳ Ｐゴシック"/>
            <family val="2"/>
            <scheme val="minor"/>
          </rPr>
          <t>競技規則 第2章第1条第1項4（2026年）。小数点以下も規則の値</t>
        </r>
      </text>
    </comment>
    <comment ref="M7" authorId="0" shapeId="0" xr:uid="{00000000-0006-0000-0300-000004000000}">
      <text>
        <r>
          <rPr>
            <sz val="11"/>
            <color theme="1"/>
            <rFont val="ＭＳ Ｐゴシック"/>
            <family val="2"/>
            <scheme val="minor"/>
          </rPr>
          <t>制限タイムよりこれだけ早くゴールする。昨年のスーパーカブは約26秒早くゴールしていた（2025-10-12のGPX）。元の記録表は16:20（約7秒）</t>
        </r>
      </text>
    </comment>
    <comment ref="M8" authorId="0" shapeId="0" xr:uid="{00000000-0006-0000-0300-000005000000}">
      <text>
        <r>
          <rPr>
            <sz val="11"/>
            <color theme="1"/>
            <rFont val="ＭＳ Ｐゴシック"/>
            <family val="2"/>
            <scheme val="minor"/>
          </rPr>
          <t>ラインの間隔（直線距離）。コースウォークで測った値に書き換える。アプリの設定→ラインに出る「コントロール→スタート」の値。今は地図から拾ったおおよその位置</t>
        </r>
      </text>
    </comment>
    <comment ref="M9" authorId="0" shapeId="0" xr:uid="{00000000-0006-0000-0300-000006000000}">
      <text>
        <r>
          <rPr>
            <sz val="11"/>
            <color theme="1"/>
            <rFont val="ＭＳ Ｐゴシック"/>
            <family val="2"/>
            <scheme val="minor"/>
          </rPr>
          <t>ラインの間隔（直線距離）。コースウォークで測った値に書き換える。アプリの設定→ラインに出る「ゴール→コントロール」の値。今は地図から拾ったおおよその位置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EcoLogger</author>
  </authors>
  <commentList>
    <comment ref="I6" authorId="0" shapeId="0" xr:uid="{00000000-0006-0000-0400-000001000000}">
      <text>
        <r>
          <rPr>
            <sz val="11"/>
            <color theme="1"/>
            <rFont val="ＭＳ Ｐゴシック"/>
            <family val="2"/>
            <scheme val="minor"/>
          </rPr>
          <t>2025-10-12のGPX（iGPSPORT）で、各ラインを通った時刻の間の折れ線の長さ</t>
        </r>
      </text>
    </comment>
  </commentList>
</comments>
</file>

<file path=xl/sharedStrings.xml><?xml version="1.0" encoding="utf-8"?>
<sst xmlns="http://schemas.openxmlformats.org/spreadsheetml/2006/main" count="153" uniqueCount="71">
  <si>
    <t>本番用記録表（改良版）</t>
  </si>
  <si>
    <t>元の記録表（Honda エコ マイレッジ チャレンジ　本番用記録表.xlsx）と同じく、実走タイムを入れると差と次の周の目標速度が出る。</t>
  </si>
  <si>
    <t>入れるセル</t>
  </si>
  <si>
    <t>・黄色のセル（青い文字）だけを書き換える。ほかのセルは計算式</t>
  </si>
  <si>
    <t>・実走タイム（累計）：コントロール（最終周はゴール）を通った時の、スタートからの経過時間。例 0:04:57.1</t>
  </si>
  <si>
    <t>・余裕（秒）：制限タイムよりどれだけ早くゴールするか。クラスのシートごとに決める</t>
  </si>
  <si>
    <t>・スタート→コントロール、ゴール→コントロール（m）：コースウォークで測ったラインの間隔に書き換える（アプリの設定→ラインの「ライン間の距離」）</t>
  </si>
  <si>
    <t>元の記録表から変えたところ</t>
  </si>
  <si>
    <t>1. 周の距離を実際のコースに合わせた：1周目はスタート→コントロール、最終周はコントロール→ゴールの分だけ短い（昨年の実走のGPXで確認、「昨年の実走（検証）」シート）</t>
  </si>
  <si>
    <t>2. 目標タイムを周回数で等分せず、距離に比例して割り振った（等分だと1周目に約20秒の「貯金」が出て、2周目を遅く走らせてしまう）</t>
  </si>
  <si>
    <t>3. 余裕を秒で入れる欄を作った（元は全体目標タイム16:20を直接入れていた）</t>
  </si>
  <si>
    <t>4. 一周平均速度の色を、決まった25〜26km/hではなく、その周の目標速度に対して付けた</t>
  </si>
  <si>
    <t>5. その周の目標速度と目標比の列を足した（ふり返り用）</t>
  </si>
  <si>
    <t>6. 元の記録表で直したもの：全体平均速度の式が周回数3を決め打ちしていた／説明文の25.45km/hが計算と合っていなかった（計画は25.19km/h）／最終周の行にGoogleスプレッドシート専用の関数（SPARKLINE）が入っていてExcelでは空になっていた</t>
  </si>
  <si>
    <t>7. CNグループⅢ（7周）のシートを足した</t>
  </si>
  <si>
    <t>前提</t>
  </si>
  <si>
    <t>・全体距離・周回数・制限タイム：2026年 全国大会 競技規則 第2章第1条第1項4</t>
  </si>
  <si>
    <t>・ライン間の距離の初期値：Googleマップで拾ったもてぎのおおよそのライン位置（2026-10-19）からの直線距離。コースウォークで測り直す</t>
  </si>
  <si>
    <t>・余裕の初期値30秒：昨年のスーパーカブが制限より約26秒早くゴールしていたことから</t>
  </si>
  <si>
    <t>・計算はAndroidアプリ（EcoLogger）の画面の「この周の目標」「差」「前半」と同じ</t>
  </si>
  <si>
    <t>CN二輪車</t>
  </si>
  <si>
    <t>入力（黄色のセル）</t>
  </si>
  <si>
    <t>全体距離（m）</t>
  </si>
  <si>
    <t>競技規則 第2章第1条第1項4（2026年）</t>
  </si>
  <si>
    <t>周回数</t>
  </si>
  <si>
    <t>制限タイム</t>
  </si>
  <si>
    <t>競技規則 第2章第1条第1項4（2026年）。小数点以下も規則の値</t>
  </si>
  <si>
    <t>余裕（秒）</t>
  </si>
  <si>
    <t>制限タイムよりこれだけ早くゴールする。昨年のスーパーカブは約26秒早くゴールしていた（2025-10-12のGPX）。元の記録表は16:20（約7秒）</t>
  </si>
  <si>
    <t>スタート→コントロール（m）</t>
  </si>
  <si>
    <t>ラインの間隔（直線距離）。コースウォークで測った値に書き換える。アプリの設定→ラインに出る「コントロール→スタート」の値。今は地図から拾ったおおよその位置</t>
  </si>
  <si>
    <t>ゴール→コントロール（m）</t>
  </si>
  <si>
    <t>ラインの間隔（直線距離）。コースウォークで測った値に書き換える。アプリの設定→ラインに出る「ゴール→コントロール」の値。今は地図から拾ったおおよその位置</t>
  </si>
  <si>
    <t>計算（触らない）</t>
  </si>
  <si>
    <t>全体目標タイム</t>
  </si>
  <si>
    <t>制限タイム − 余裕</t>
  </si>
  <si>
    <t>1周の長さ（m）</t>
  </si>
  <si>
    <t>1周目はスタート→コントロールの分、最終周はゴール→コントロールの分だけ短い</t>
  </si>
  <si>
    <t>計画の平均速度（km/h）</t>
  </si>
  <si>
    <t>全体距離 ÷ 全体目標タイム。1周目の目標速度と同じ</t>
  </si>
  <si>
    <t>周回</t>
  </si>
  <si>
    <t>周の距離（m）</t>
  </si>
  <si>
    <t>目標タイム（累計）</t>
  </si>
  <si>
    <t>実走タイム（累計）</t>
  </si>
  <si>
    <t>差</t>
  </si>
  <si>
    <t>周タイム</t>
  </si>
  <si>
    <t>一周平均速度</t>
  </si>
  <si>
    <t>この周の目標速度</t>
  </si>
  <si>
    <t>目標比（km/h）</t>
  </si>
  <si>
    <t>次の周の目標速度</t>
  </si>
  <si>
    <t>次の周の前半の目標速度</t>
  </si>
  <si>
    <t>スタート前</t>
  </si>
  <si>
    <t>使い方：コントロールライン（最終周はゴール）を通った時の、スタートからの経過時間を「実走タイム（累計）」に入れる（例 0:04:57.1）。ほかは自動</t>
  </si>
  <si>
    <t>差：目標タイムより早ければ＋（緑）、遅れていれば−（赤）</t>
  </si>
  <si>
    <t>次の周の目標速度：次の周をこの速さで走ると、次の周の目標タイムちょうどに戻る（遅れ・貯金を次の1周で取り返す）</t>
  </si>
  <si>
    <t>次の周の前半の目標速度：遅れ・貯金を次の周の前半の半周で取り返すときの速さ。後半は計画の速さで走る</t>
  </si>
  <si>
    <t>一周平均速度の色：その周の目標速度以上〜＋1km/hで緑、目標未満で赤、それより速いと黄（速すぎて燃料がもったいない）</t>
  </si>
  <si>
    <t>周の距離：1周目はスタートからコントロールまで、最終周はコントロールからゴールまでなので短い。元の記録表は全周を同じ長さ（全体距離÷周回数）にしていた</t>
  </si>
  <si>
    <t>Androidアプリ（EcoLogger）の「この周の目標」「差」「前半」と同じ計算</t>
  </si>
  <si>
    <t>電動二輪</t>
  </si>
  <si>
    <t>CNグループⅢ</t>
  </si>
  <si>
    <t>昨年のスーパーカブ（2025-10-12 全国大会、GPXから）</t>
  </si>
  <si>
    <t>スタート・コントロール・ゴールを通った時刻をGPX（10〜16秒おきの点）から読み、1周ずつの平均速度を2通りの距離で出した。距離の補正後は3周ともほぼ同じ速さ＝実際は一定のペースで走れていた。等分のままだと1周目が速すぎ・2周目が遅すぎに見える</t>
  </si>
  <si>
    <t>等分の距離（m）</t>
  </si>
  <si>
    <t>等分での平均速度</t>
  </si>
  <si>
    <t>補正後の距離（m）</t>
  </si>
  <si>
    <t>補正後の平均速度</t>
  </si>
  <si>
    <t>GPSの道のり（m）</t>
  </si>
  <si>
    <t>ゴールは16:00.9、制限16:27.36に対して約26秒早い（余裕の既定30秒の根拠）</t>
  </si>
  <si>
    <t>GPSの道のりは点が粗くカーブで角を切るため約2%短く出る。補正後の距離と2%以内で一致し、等分の距離（2285.6m）とは1周目で約190m違う</t>
  </si>
  <si>
    <t>距離の補正後の値は「CN二輪車」シートの入力（スタート→コントロール・ゴール→コントロール）を使う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</si>
</sst>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"/>
    <numFmt numFmtId="177" formatCode="[h]:mm:ss.0"/>
    <numFmt numFmtId="178" formatCode="\+0.0&quot;秒&quot;;\-0.0&quot;秒&quot;;0.0&quot;秒&quot;"/>
    <numFmt numFmtId="179" formatCode="\+0.00;\-0.00;0.00"/>
  </numFmts>
  <fonts count="8" x14ac:knownFonts="1">
    <font>
      <sz val="11"/>
      <color theme="1"/>
      <name val="ＭＳ Ｐゴシック"/>
      <family val="2"/>
      <scheme val="minor"/>
    </font>
    <font>
      <b/>
      <sz val="14"/>
      <name val="Arial"/>
    </font>
    <font>
      <b/>
      <sz val="11"/>
      <name val="Arial"/>
    </font>
    <font>
      <sz val="11"/>
      <name val="Arial"/>
    </font>
    <font>
      <sz val="11"/>
      <color rgb="FF0000FF"/>
      <name val="Arial"/>
    </font>
    <font>
      <sz val="9"/>
      <color rgb="FF555555"/>
      <name val="Arial"/>
    </font>
    <font>
      <sz val="11"/>
      <color theme="1"/>
      <name val="Arial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3E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0" borderId="0" xfId="0" applyFont="1"/>
    <xf numFmtId="0" fontId="1" fillId="0" borderId="0" xfId="0" applyFont="1"/>
    <xf numFmtId="0" fontId="3" fillId="0" borderId="0" xfId="0" applyFont="1"/>
    <xf numFmtId="0" fontId="2" fillId="0" borderId="0" xfId="0" applyFont="1"/>
    <xf numFmtId="176" fontId="4" fillId="2" borderId="1" xfId="0" applyNumberFormat="1" applyFont="1" applyFill="1" applyBorder="1"/>
    <xf numFmtId="0" fontId="5" fillId="0" borderId="0" xfId="0" applyFont="1"/>
    <xf numFmtId="1" fontId="4" fillId="2" borderId="1" xfId="0" applyNumberFormat="1" applyFont="1" applyFill="1" applyBorder="1"/>
    <xf numFmtId="177" fontId="4" fillId="2" borderId="1" xfId="0" applyNumberFormat="1" applyFont="1" applyFill="1" applyBorder="1"/>
    <xf numFmtId="177" fontId="3" fillId="0" borderId="1" xfId="0" applyNumberFormat="1" applyFont="1" applyBorder="1"/>
    <xf numFmtId="176" fontId="3" fillId="0" borderId="1" xfId="0" applyNumberFormat="1" applyFont="1" applyBorder="1"/>
    <xf numFmtId="2" fontId="3" fillId="0" borderId="1" xfId="0" applyNumberFormat="1" applyFont="1" applyBorder="1"/>
    <xf numFmtId="0" fontId="2" fillId="3" borderId="1" xfId="0" applyFont="1" applyFill="1" applyBorder="1" applyAlignment="1">
      <alignment horizontal="center" vertical="center" wrapText="1"/>
    </xf>
    <xf numFmtId="177" fontId="6" fillId="0" borderId="0" xfId="0" applyNumberFormat="1" applyFont="1"/>
    <xf numFmtId="177" fontId="3" fillId="0" borderId="0" xfId="0" applyNumberFormat="1" applyFont="1"/>
    <xf numFmtId="2" fontId="6" fillId="0" borderId="0" xfId="0" applyNumberFormat="1" applyFont="1"/>
    <xf numFmtId="0" fontId="3" fillId="0" borderId="1" xfId="0" applyFont="1" applyBorder="1"/>
    <xf numFmtId="178" fontId="3" fillId="0" borderId="1" xfId="0" applyNumberFormat="1" applyFont="1" applyBorder="1"/>
    <xf numFmtId="179" fontId="3" fillId="0" borderId="1" xfId="0" applyNumberFormat="1" applyFont="1" applyBorder="1"/>
    <xf numFmtId="0" fontId="6" fillId="0" borderId="1" xfId="0" applyFont="1" applyBorder="1"/>
    <xf numFmtId="177" fontId="4" fillId="0" borderId="1" xfId="0" applyNumberFormat="1" applyFont="1" applyBorder="1"/>
    <xf numFmtId="177" fontId="6" fillId="0" borderId="1" xfId="0" applyNumberFormat="1" applyFont="1" applyBorder="1"/>
    <xf numFmtId="176" fontId="6" fillId="0" borderId="1" xfId="0" applyNumberFormat="1" applyFont="1" applyBorder="1"/>
    <xf numFmtId="2" fontId="6" fillId="0" borderId="1" xfId="0" applyNumberFormat="1" applyFont="1" applyBorder="1"/>
    <xf numFmtId="3" fontId="4" fillId="0" borderId="1" xfId="0" applyNumberFormat="1" applyFont="1" applyBorder="1"/>
  </cellXfs>
  <cellStyles count="1">
    <cellStyle name="標準" xfId="0" builtinId="0"/>
  </cellStyles>
  <dxfs count="15">
    <dxf>
      <fill>
        <patternFill patternType="solid">
          <fgColor rgb="FFB7E1B0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6B0"/>
        </patternFill>
      </fill>
    </dxf>
    <dxf>
      <fill>
        <patternFill patternType="solid">
          <fgColor rgb="FFB7E1B0"/>
        </patternFill>
      </fill>
    </dxf>
    <dxf>
      <fill>
        <patternFill patternType="solid">
          <fgColor rgb="FFF4B6B0"/>
        </patternFill>
      </fill>
    </dxf>
    <dxf>
      <fill>
        <patternFill patternType="solid">
          <fgColor rgb="FFB7E1B0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6B0"/>
        </patternFill>
      </fill>
    </dxf>
    <dxf>
      <fill>
        <patternFill patternType="solid">
          <fgColor rgb="FFB7E1B0"/>
        </patternFill>
      </fill>
    </dxf>
    <dxf>
      <fill>
        <patternFill patternType="solid">
          <fgColor rgb="FFF4B6B0"/>
        </patternFill>
      </fill>
    </dxf>
    <dxf>
      <fill>
        <patternFill patternType="solid">
          <fgColor rgb="FFB7E1B0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6B0"/>
        </patternFill>
      </fill>
    </dxf>
    <dxf>
      <fill>
        <patternFill patternType="solid">
          <fgColor rgb="FFB7E1B0"/>
        </patternFill>
      </fill>
    </dxf>
    <dxf>
      <fill>
        <patternFill patternType="solid">
          <fgColor rgb="FFF4B6B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/>
  </sheetViews>
  <sheetFormatPr defaultRowHeight="13" x14ac:dyDescent="0.2"/>
  <cols>
    <col min="1" max="1" width="2" customWidth="1"/>
    <col min="2" max="2" width="150" customWidth="1"/>
  </cols>
  <sheetData>
    <row r="1" spans="1:2" ht="14" x14ac:dyDescent="0.3">
      <c r="A1" s="1"/>
      <c r="B1" s="1"/>
    </row>
    <row r="2" spans="1:2" ht="18" x14ac:dyDescent="0.4">
      <c r="A2" s="1"/>
      <c r="B2" s="2" t="s">
        <v>0</v>
      </c>
    </row>
    <row r="3" spans="1:2" ht="14" x14ac:dyDescent="0.3">
      <c r="A3" s="1"/>
      <c r="B3" s="3" t="s">
        <v>1</v>
      </c>
    </row>
    <row r="4" spans="1:2" ht="14" x14ac:dyDescent="0.3">
      <c r="A4" s="1"/>
      <c r="B4" s="3"/>
    </row>
    <row r="5" spans="1:2" ht="14" x14ac:dyDescent="0.3">
      <c r="A5" s="1"/>
      <c r="B5" s="4" t="s">
        <v>2</v>
      </c>
    </row>
    <row r="6" spans="1:2" ht="14" x14ac:dyDescent="0.3">
      <c r="A6" s="1"/>
      <c r="B6" s="3" t="s">
        <v>3</v>
      </c>
    </row>
    <row r="7" spans="1:2" ht="14" x14ac:dyDescent="0.3">
      <c r="A7" s="1"/>
      <c r="B7" s="3" t="s">
        <v>4</v>
      </c>
    </row>
    <row r="8" spans="1:2" ht="14" x14ac:dyDescent="0.3">
      <c r="A8" s="1"/>
      <c r="B8" s="3" t="s">
        <v>5</v>
      </c>
    </row>
    <row r="9" spans="1:2" ht="14" x14ac:dyDescent="0.3">
      <c r="A9" s="1"/>
      <c r="B9" s="3" t="s">
        <v>6</v>
      </c>
    </row>
    <row r="10" spans="1:2" ht="14" x14ac:dyDescent="0.3">
      <c r="A10" s="1"/>
      <c r="B10" s="3"/>
    </row>
    <row r="11" spans="1:2" ht="14" x14ac:dyDescent="0.3">
      <c r="A11" s="1"/>
      <c r="B11" s="4" t="s">
        <v>7</v>
      </c>
    </row>
    <row r="12" spans="1:2" ht="14" x14ac:dyDescent="0.3">
      <c r="A12" s="1"/>
      <c r="B12" s="3" t="s">
        <v>8</v>
      </c>
    </row>
    <row r="13" spans="1:2" ht="14" x14ac:dyDescent="0.3">
      <c r="A13" s="1"/>
      <c r="B13" s="3" t="s">
        <v>9</v>
      </c>
    </row>
    <row r="14" spans="1:2" ht="14" x14ac:dyDescent="0.3">
      <c r="A14" s="1"/>
      <c r="B14" s="3" t="s">
        <v>10</v>
      </c>
    </row>
    <row r="15" spans="1:2" ht="14" x14ac:dyDescent="0.3">
      <c r="A15" s="1"/>
      <c r="B15" s="3" t="s">
        <v>11</v>
      </c>
    </row>
    <row r="16" spans="1:2" ht="14" x14ac:dyDescent="0.3">
      <c r="A16" s="1"/>
      <c r="B16" s="3" t="s">
        <v>12</v>
      </c>
    </row>
    <row r="17" spans="1:2" ht="14" x14ac:dyDescent="0.3">
      <c r="A17" s="1"/>
      <c r="B17" s="3" t="s">
        <v>13</v>
      </c>
    </row>
    <row r="18" spans="1:2" ht="14" x14ac:dyDescent="0.3">
      <c r="A18" s="1"/>
      <c r="B18" s="3" t="s">
        <v>14</v>
      </c>
    </row>
    <row r="19" spans="1:2" ht="14" x14ac:dyDescent="0.3">
      <c r="A19" s="1"/>
      <c r="B19" s="3"/>
    </row>
    <row r="20" spans="1:2" ht="14" x14ac:dyDescent="0.3">
      <c r="A20" s="1"/>
      <c r="B20" s="4" t="s">
        <v>15</v>
      </c>
    </row>
    <row r="21" spans="1:2" ht="14" x14ac:dyDescent="0.3">
      <c r="A21" s="1"/>
      <c r="B21" s="3" t="s">
        <v>16</v>
      </c>
    </row>
    <row r="22" spans="1:2" ht="14" x14ac:dyDescent="0.3">
      <c r="A22" s="1"/>
      <c r="B22" s="3" t="s">
        <v>17</v>
      </c>
    </row>
    <row r="23" spans="1:2" ht="14" x14ac:dyDescent="0.3">
      <c r="A23" s="1"/>
      <c r="B23" s="3" t="s">
        <v>18</v>
      </c>
    </row>
    <row r="24" spans="1:2" ht="14" x14ac:dyDescent="0.3">
      <c r="A24" s="1"/>
      <c r="B24" s="3" t="s">
        <v>19</v>
      </c>
    </row>
  </sheetData>
  <phoneticPr fontId="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workbookViewId="0">
      <pane xSplit="2" ySplit="16" topLeftCell="C17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2" customWidth="1"/>
    <col min="2" max="2" width="10" customWidth="1"/>
    <col min="3" max="3" width="11" customWidth="1"/>
    <col min="4" max="5" width="13" customWidth="1"/>
    <col min="6" max="6" width="10" customWidth="1"/>
    <col min="7" max="9" width="11" customWidth="1"/>
    <col min="10" max="10" width="10" customWidth="1"/>
    <col min="11" max="11" width="24" customWidth="1"/>
    <col min="12" max="12" width="13" customWidth="1"/>
    <col min="13" max="13" width="12" customWidth="1"/>
    <col min="14" max="14" width="60" customWidth="1"/>
  </cols>
  <sheetData>
    <row r="1" spans="1:14" ht="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 x14ac:dyDescent="0.4">
      <c r="A2" s="1"/>
      <c r="B2" s="2" t="s">
        <v>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4" t="s">
        <v>21</v>
      </c>
      <c r="L3" s="1"/>
      <c r="M3" s="1"/>
      <c r="N3" s="1"/>
    </row>
    <row r="4" spans="1:14" ht="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3" t="s">
        <v>22</v>
      </c>
      <c r="L4" s="1"/>
      <c r="M4" s="5">
        <v>6856.72</v>
      </c>
      <c r="N4" s="6" t="s">
        <v>23</v>
      </c>
    </row>
    <row r="5" spans="1:14" ht="1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3" t="s">
        <v>24</v>
      </c>
      <c r="L5" s="1"/>
      <c r="M5" s="7">
        <v>3</v>
      </c>
      <c r="N5" s="6" t="s">
        <v>23</v>
      </c>
    </row>
    <row r="6" spans="1:14" ht="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3" t="s">
        <v>25</v>
      </c>
      <c r="L6" s="1"/>
      <c r="M6" s="8">
        <f>TIME(0,16,27)+0.36/86400</f>
        <v>1.1427777777777778E-2</v>
      </c>
      <c r="N6" s="6" t="s">
        <v>26</v>
      </c>
    </row>
    <row r="7" spans="1:14" ht="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3" t="s">
        <v>27</v>
      </c>
      <c r="L7" s="1"/>
      <c r="M7" s="7">
        <v>30</v>
      </c>
      <c r="N7" s="6" t="s">
        <v>28</v>
      </c>
    </row>
    <row r="8" spans="1:14" ht="1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3" t="s">
        <v>29</v>
      </c>
      <c r="L8" s="1"/>
      <c r="M8" s="5">
        <v>277.8</v>
      </c>
      <c r="N8" s="6" t="s">
        <v>30</v>
      </c>
    </row>
    <row r="9" spans="1:14" ht="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3" t="s">
        <v>31</v>
      </c>
      <c r="L9" s="1"/>
      <c r="M9" s="5">
        <v>89.9</v>
      </c>
      <c r="N9" s="6" t="s">
        <v>32</v>
      </c>
    </row>
    <row r="10" spans="1:14" ht="1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4" t="s">
        <v>33</v>
      </c>
      <c r="L11" s="1"/>
      <c r="M11" s="1"/>
      <c r="N11" s="1"/>
    </row>
    <row r="12" spans="1:14" ht="1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3" t="s">
        <v>34</v>
      </c>
      <c r="L12" s="1"/>
      <c r="M12" s="9">
        <f>$M$6-$M$7/86400</f>
        <v>1.1080555555555555E-2</v>
      </c>
      <c r="N12" s="6" t="s">
        <v>35</v>
      </c>
    </row>
    <row r="13" spans="1:14" ht="1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3" t="s">
        <v>36</v>
      </c>
      <c r="L13" s="1"/>
      <c r="M13" s="10">
        <f>($M$4+$M$8+$M$9)/$M$5</f>
        <v>2408.14</v>
      </c>
      <c r="N13" s="6" t="s">
        <v>37</v>
      </c>
    </row>
    <row r="14" spans="1:14" ht="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3" t="s">
        <v>38</v>
      </c>
      <c r="L14" s="1"/>
      <c r="M14" s="11">
        <f>$M$4/1000/($M$12*24)</f>
        <v>25.783604913512157</v>
      </c>
      <c r="N14" s="6" t="s">
        <v>39</v>
      </c>
    </row>
    <row r="15" spans="1:14" ht="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32" customHeight="1" x14ac:dyDescent="0.3">
      <c r="A16" s="1"/>
      <c r="B16" s="12" t="s">
        <v>40</v>
      </c>
      <c r="C16" s="12" t="s">
        <v>41</v>
      </c>
      <c r="D16" s="12" t="s">
        <v>42</v>
      </c>
      <c r="E16" s="12" t="s">
        <v>43</v>
      </c>
      <c r="F16" s="12" t="s">
        <v>44</v>
      </c>
      <c r="G16" s="12" t="s">
        <v>45</v>
      </c>
      <c r="H16" s="12" t="s">
        <v>46</v>
      </c>
      <c r="I16" s="12" t="s">
        <v>47</v>
      </c>
      <c r="J16" s="12" t="s">
        <v>48</v>
      </c>
      <c r="K16" s="12" t="s">
        <v>49</v>
      </c>
      <c r="L16" s="12" t="s">
        <v>50</v>
      </c>
      <c r="M16" s="1"/>
      <c r="N16" s="1"/>
    </row>
    <row r="17" spans="1:14" ht="14" x14ac:dyDescent="0.3">
      <c r="A17" s="1"/>
      <c r="B17" s="3" t="s">
        <v>51</v>
      </c>
      <c r="C17" s="1"/>
      <c r="D17" s="13">
        <v>0</v>
      </c>
      <c r="E17" s="14">
        <v>0</v>
      </c>
      <c r="F17" s="1"/>
      <c r="G17" s="1"/>
      <c r="H17" s="1"/>
      <c r="I17" s="1"/>
      <c r="J17" s="1"/>
      <c r="K17" s="15">
        <f>C18/1000/(D18*24)</f>
        <v>25.783604913512161</v>
      </c>
      <c r="L17" s="15">
        <f>C18/2/1000/(D18/2*24)</f>
        <v>25.783604913512161</v>
      </c>
      <c r="M17" s="1"/>
      <c r="N17" s="1"/>
    </row>
    <row r="18" spans="1:14" ht="14" x14ac:dyDescent="0.3">
      <c r="A18" s="1"/>
      <c r="B18" s="16">
        <f>IF(1&lt;=$M$5,1,"")</f>
        <v>1</v>
      </c>
      <c r="C18" s="10">
        <f t="shared" ref="C18:C24" si="0">IF($B18&lt;=$M$5,$M$13-IF($B18=1,$M$8,0)-IF($B18=$M$5,$M$9,0),"")</f>
        <v>2130.3399999999997</v>
      </c>
      <c r="D18" s="9">
        <f>IF($B18&lt;=$M$5,$M$12*SUM($C$18:C18)/$M$4,"")</f>
        <v>3.4426592776461949E-3</v>
      </c>
      <c r="E18" s="8"/>
      <c r="F18" s="17" t="str">
        <f t="shared" ref="F18:F24" si="1">IF(AND($B18&lt;=$M$5,E18&lt;&gt;""),(D18-E18)*86400,"")</f>
        <v/>
      </c>
      <c r="G18" s="9" t="str">
        <f t="shared" ref="G18:G24" si="2">IF(AND($B18&lt;=$M$5,E18&lt;&gt;""),E18-E17,"")</f>
        <v/>
      </c>
      <c r="H18" s="11" t="str">
        <f t="shared" ref="H18:H24" si="3">IF(AND($B18&lt;=$M$5,E18&lt;&gt;""),C18/1000/(G18*24),"")</f>
        <v/>
      </c>
      <c r="I18" s="11">
        <f t="shared" ref="I18:I24" si="4">IF(AND($B18&lt;=$M$5,E17&lt;&gt;""),C18/1000/((D18-E17)*24),"")</f>
        <v>25.783604913512161</v>
      </c>
      <c r="J18" s="18" t="str">
        <f t="shared" ref="J18:J24" si="5">IF(AND(AND($B18&lt;=$M$5,E18&lt;&gt;""),I18&lt;&gt;""),H18-I18,"")</f>
        <v/>
      </c>
      <c r="K18" s="11" t="str">
        <f t="shared" ref="K18:K24" si="6">IF(AND(AND($B18&lt;=$M$5,E18&lt;&gt;""),$B18&lt;$M$5),C19/1000/((D19-E18)*24),"")</f>
        <v/>
      </c>
      <c r="L18" s="11" t="str">
        <f t="shared" ref="L18:L24" si="7">IF(AND(AND($B18&lt;=$M$5,E18&lt;&gt;""),$B18&lt;$M$5),C19/2/1000/(((D18+D19)/2-E18)*24),"")</f>
        <v/>
      </c>
      <c r="M18" s="1"/>
      <c r="N18" s="1"/>
    </row>
    <row r="19" spans="1:14" ht="14" x14ac:dyDescent="0.3">
      <c r="A19" s="1"/>
      <c r="B19" s="16">
        <f>IF(2&lt;=$M$5,2,"")</f>
        <v>2</v>
      </c>
      <c r="C19" s="10">
        <f t="shared" si="0"/>
        <v>2408.14</v>
      </c>
      <c r="D19" s="9">
        <f>IF($B19&lt;=$M$5,$M$12*SUM($C$18:C19)/$M$4,"")</f>
        <v>7.3342472461727726E-3</v>
      </c>
      <c r="E19" s="8"/>
      <c r="F19" s="17" t="str">
        <f t="shared" si="1"/>
        <v/>
      </c>
      <c r="G19" s="9" t="str">
        <f t="shared" si="2"/>
        <v/>
      </c>
      <c r="H19" s="11" t="str">
        <f t="shared" si="3"/>
        <v/>
      </c>
      <c r="I19" s="11" t="str">
        <f t="shared" si="4"/>
        <v/>
      </c>
      <c r="J19" s="18" t="str">
        <f t="shared" si="5"/>
        <v/>
      </c>
      <c r="K19" s="11" t="str">
        <f t="shared" si="6"/>
        <v/>
      </c>
      <c r="L19" s="11" t="str">
        <f t="shared" si="7"/>
        <v/>
      </c>
      <c r="M19" s="1"/>
      <c r="N19" s="1"/>
    </row>
    <row r="20" spans="1:14" ht="14" x14ac:dyDescent="0.3">
      <c r="A20" s="1"/>
      <c r="B20" s="16">
        <f>IF(3&lt;=$M$5,3,"")</f>
        <v>3</v>
      </c>
      <c r="C20" s="10">
        <f t="shared" si="0"/>
        <v>2318.2399999999998</v>
      </c>
      <c r="D20" s="9">
        <f>IF($B20&lt;=$M$5,$M$12*SUM($C$18:C20)/$M$4,"")</f>
        <v>1.1080555555555555E-2</v>
      </c>
      <c r="E20" s="8"/>
      <c r="F20" s="17" t="str">
        <f t="shared" si="1"/>
        <v/>
      </c>
      <c r="G20" s="9" t="str">
        <f t="shared" si="2"/>
        <v/>
      </c>
      <c r="H20" s="11" t="str">
        <f t="shared" si="3"/>
        <v/>
      </c>
      <c r="I20" s="11" t="str">
        <f t="shared" si="4"/>
        <v/>
      </c>
      <c r="J20" s="18" t="str">
        <f t="shared" si="5"/>
        <v/>
      </c>
      <c r="K20" s="11" t="str">
        <f t="shared" si="6"/>
        <v/>
      </c>
      <c r="L20" s="11" t="str">
        <f t="shared" si="7"/>
        <v/>
      </c>
      <c r="M20" s="1"/>
      <c r="N20" s="1"/>
    </row>
    <row r="21" spans="1:14" ht="14" x14ac:dyDescent="0.3">
      <c r="A21" s="1"/>
      <c r="B21" s="16" t="str">
        <f>IF(4&lt;=$M$5,4,"")</f>
        <v/>
      </c>
      <c r="C21" s="10" t="str">
        <f t="shared" si="0"/>
        <v/>
      </c>
      <c r="D21" s="9" t="str">
        <f>IF($B21&lt;=$M$5,$M$12*SUM($C$18:C21)/$M$4,"")</f>
        <v/>
      </c>
      <c r="E21" s="8"/>
      <c r="F21" s="17" t="str">
        <f t="shared" si="1"/>
        <v/>
      </c>
      <c r="G21" s="9" t="str">
        <f t="shared" si="2"/>
        <v/>
      </c>
      <c r="H21" s="11" t="str">
        <f t="shared" si="3"/>
        <v/>
      </c>
      <c r="I21" s="11" t="str">
        <f t="shared" si="4"/>
        <v/>
      </c>
      <c r="J21" s="18" t="str">
        <f t="shared" si="5"/>
        <v/>
      </c>
      <c r="K21" s="11" t="str">
        <f t="shared" si="6"/>
        <v/>
      </c>
      <c r="L21" s="11" t="str">
        <f t="shared" si="7"/>
        <v/>
      </c>
      <c r="M21" s="1"/>
      <c r="N21" s="1"/>
    </row>
    <row r="22" spans="1:14" ht="14" x14ac:dyDescent="0.3">
      <c r="A22" s="1"/>
      <c r="B22" s="16" t="str">
        <f>IF(5&lt;=$M$5,5,"")</f>
        <v/>
      </c>
      <c r="C22" s="10" t="str">
        <f t="shared" si="0"/>
        <v/>
      </c>
      <c r="D22" s="9" t="str">
        <f>IF($B22&lt;=$M$5,$M$12*SUM($C$18:C22)/$M$4,"")</f>
        <v/>
      </c>
      <c r="E22" s="8"/>
      <c r="F22" s="17" t="str">
        <f t="shared" si="1"/>
        <v/>
      </c>
      <c r="G22" s="9" t="str">
        <f t="shared" si="2"/>
        <v/>
      </c>
      <c r="H22" s="11" t="str">
        <f t="shared" si="3"/>
        <v/>
      </c>
      <c r="I22" s="11" t="str">
        <f t="shared" si="4"/>
        <v/>
      </c>
      <c r="J22" s="18" t="str">
        <f t="shared" si="5"/>
        <v/>
      </c>
      <c r="K22" s="11" t="str">
        <f t="shared" si="6"/>
        <v/>
      </c>
      <c r="L22" s="11" t="str">
        <f t="shared" si="7"/>
        <v/>
      </c>
      <c r="M22" s="1"/>
      <c r="N22" s="1"/>
    </row>
    <row r="23" spans="1:14" ht="14" x14ac:dyDescent="0.3">
      <c r="A23" s="1"/>
      <c r="B23" s="16" t="str">
        <f>IF(6&lt;=$M$5,6,"")</f>
        <v/>
      </c>
      <c r="C23" s="10" t="str">
        <f t="shared" si="0"/>
        <v/>
      </c>
      <c r="D23" s="9" t="str">
        <f>IF($B23&lt;=$M$5,$M$12*SUM($C$18:C23)/$M$4,"")</f>
        <v/>
      </c>
      <c r="E23" s="8"/>
      <c r="F23" s="17" t="str">
        <f t="shared" si="1"/>
        <v/>
      </c>
      <c r="G23" s="9" t="str">
        <f t="shared" si="2"/>
        <v/>
      </c>
      <c r="H23" s="11" t="str">
        <f t="shared" si="3"/>
        <v/>
      </c>
      <c r="I23" s="11" t="str">
        <f t="shared" si="4"/>
        <v/>
      </c>
      <c r="J23" s="18" t="str">
        <f t="shared" si="5"/>
        <v/>
      </c>
      <c r="K23" s="11" t="str">
        <f t="shared" si="6"/>
        <v/>
      </c>
      <c r="L23" s="11" t="str">
        <f t="shared" si="7"/>
        <v/>
      </c>
      <c r="M23" s="1"/>
      <c r="N23" s="1"/>
    </row>
    <row r="24" spans="1:14" ht="14" x14ac:dyDescent="0.3">
      <c r="A24" s="1"/>
      <c r="B24" s="16" t="str">
        <f>IF(7&lt;=$M$5,7,"")</f>
        <v/>
      </c>
      <c r="C24" s="10" t="str">
        <f t="shared" si="0"/>
        <v/>
      </c>
      <c r="D24" s="9" t="str">
        <f>IF($B24&lt;=$M$5,$M$12*SUM($C$18:C24)/$M$4,"")</f>
        <v/>
      </c>
      <c r="E24" s="8"/>
      <c r="F24" s="17" t="str">
        <f t="shared" si="1"/>
        <v/>
      </c>
      <c r="G24" s="9" t="str">
        <f t="shared" si="2"/>
        <v/>
      </c>
      <c r="H24" s="11" t="str">
        <f t="shared" si="3"/>
        <v/>
      </c>
      <c r="I24" s="11" t="str">
        <f t="shared" si="4"/>
        <v/>
      </c>
      <c r="J24" s="18" t="str">
        <f t="shared" si="5"/>
        <v/>
      </c>
      <c r="K24" s="11" t="str">
        <f t="shared" si="6"/>
        <v/>
      </c>
      <c r="L24" s="11" t="str">
        <f t="shared" si="7"/>
        <v/>
      </c>
      <c r="M24" s="1"/>
      <c r="N24" s="1"/>
    </row>
    <row r="25" spans="1:14" ht="1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4" x14ac:dyDescent="0.3">
      <c r="A26" s="1"/>
      <c r="B26" s="6" t="s">
        <v>52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4" x14ac:dyDescent="0.3">
      <c r="A27" s="1"/>
      <c r="B27" s="6" t="s">
        <v>53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4" x14ac:dyDescent="0.3">
      <c r="A28" s="1"/>
      <c r="B28" s="6" t="s">
        <v>54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4" x14ac:dyDescent="0.3">
      <c r="A29" s="1"/>
      <c r="B29" s="6" t="s">
        <v>55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4" x14ac:dyDescent="0.3">
      <c r="A30" s="1"/>
      <c r="B30" s="6" t="s">
        <v>56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4" x14ac:dyDescent="0.3">
      <c r="A31" s="1"/>
      <c r="B31" s="6" t="s">
        <v>57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4" x14ac:dyDescent="0.3">
      <c r="A32" s="1"/>
      <c r="B32" s="6" t="s">
        <v>58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</sheetData>
  <phoneticPr fontId="7"/>
  <conditionalFormatting sqref="F18:F24">
    <cfRule type="expression" dxfId="14" priority="4">
      <formula>AND(F18&lt;&gt;"",F18&lt;0)</formula>
    </cfRule>
    <cfRule type="expression" dxfId="13" priority="5">
      <formula>AND(F18&lt;&gt;"",F18&gt;=0)</formula>
    </cfRule>
  </conditionalFormatting>
  <conditionalFormatting sqref="H18:H24">
    <cfRule type="expression" dxfId="12" priority="1">
      <formula>AND(H18&lt;&gt;"",I18&lt;&gt;"",H18&lt;I18)</formula>
    </cfRule>
    <cfRule type="expression" dxfId="11" priority="2">
      <formula>AND(H18&lt;&gt;"",I18&lt;&gt;"",H18&gt;I18+1)</formula>
    </cfRule>
    <cfRule type="expression" dxfId="10" priority="3">
      <formula>AND(H18&lt;&gt;"",I18&lt;&gt;"")</formula>
    </cfRule>
  </conditionalFormatting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"/>
  <sheetViews>
    <sheetView workbookViewId="0">
      <pane xSplit="2" ySplit="16" topLeftCell="C17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2" customWidth="1"/>
    <col min="2" max="2" width="10" customWidth="1"/>
    <col min="3" max="3" width="11" customWidth="1"/>
    <col min="4" max="5" width="13" customWidth="1"/>
    <col min="6" max="6" width="10" customWidth="1"/>
    <col min="7" max="9" width="11" customWidth="1"/>
    <col min="10" max="10" width="10" customWidth="1"/>
    <col min="11" max="11" width="24" customWidth="1"/>
    <col min="12" max="12" width="13" customWidth="1"/>
    <col min="13" max="13" width="12" customWidth="1"/>
    <col min="14" max="14" width="60" customWidth="1"/>
  </cols>
  <sheetData>
    <row r="1" spans="1:14" ht="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 x14ac:dyDescent="0.4">
      <c r="A2" s="1"/>
      <c r="B2" s="2" t="s">
        <v>59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4" t="s">
        <v>21</v>
      </c>
      <c r="L3" s="1"/>
      <c r="M3" s="1"/>
      <c r="N3" s="1"/>
    </row>
    <row r="4" spans="1:14" ht="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3" t="s">
        <v>22</v>
      </c>
      <c r="L4" s="1"/>
      <c r="M4" s="5">
        <v>6856.72</v>
      </c>
      <c r="N4" s="6" t="s">
        <v>23</v>
      </c>
    </row>
    <row r="5" spans="1:14" ht="1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3" t="s">
        <v>24</v>
      </c>
      <c r="L5" s="1"/>
      <c r="M5" s="7">
        <v>3</v>
      </c>
      <c r="N5" s="6" t="s">
        <v>23</v>
      </c>
    </row>
    <row r="6" spans="1:14" ht="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3" t="s">
        <v>25</v>
      </c>
      <c r="L6" s="1"/>
      <c r="M6" s="8">
        <f>TIME(0,16,27)+0.36/86400</f>
        <v>1.1427777777777778E-2</v>
      </c>
      <c r="N6" s="6" t="s">
        <v>26</v>
      </c>
    </row>
    <row r="7" spans="1:14" ht="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3" t="s">
        <v>27</v>
      </c>
      <c r="L7" s="1"/>
      <c r="M7" s="7">
        <v>30</v>
      </c>
      <c r="N7" s="6" t="s">
        <v>28</v>
      </c>
    </row>
    <row r="8" spans="1:14" ht="1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3" t="s">
        <v>29</v>
      </c>
      <c r="L8" s="1"/>
      <c r="M8" s="5">
        <v>277.8</v>
      </c>
      <c r="N8" s="6" t="s">
        <v>30</v>
      </c>
    </row>
    <row r="9" spans="1:14" ht="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3" t="s">
        <v>31</v>
      </c>
      <c r="L9" s="1"/>
      <c r="M9" s="5">
        <v>89.9</v>
      </c>
      <c r="N9" s="6" t="s">
        <v>32</v>
      </c>
    </row>
    <row r="10" spans="1:14" ht="1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4" t="s">
        <v>33</v>
      </c>
      <c r="L11" s="1"/>
      <c r="M11" s="1"/>
      <c r="N11" s="1"/>
    </row>
    <row r="12" spans="1:14" ht="1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3" t="s">
        <v>34</v>
      </c>
      <c r="L12" s="1"/>
      <c r="M12" s="9">
        <f>$M$6-$M$7/86400</f>
        <v>1.1080555555555555E-2</v>
      </c>
      <c r="N12" s="6" t="s">
        <v>35</v>
      </c>
    </row>
    <row r="13" spans="1:14" ht="1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3" t="s">
        <v>36</v>
      </c>
      <c r="L13" s="1"/>
      <c r="M13" s="10">
        <f>($M$4+$M$8+$M$9)/$M$5</f>
        <v>2408.14</v>
      </c>
      <c r="N13" s="6" t="s">
        <v>37</v>
      </c>
    </row>
    <row r="14" spans="1:14" ht="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3" t="s">
        <v>38</v>
      </c>
      <c r="L14" s="1"/>
      <c r="M14" s="11">
        <f>$M$4/1000/($M$12*24)</f>
        <v>25.783604913512157</v>
      </c>
      <c r="N14" s="6" t="s">
        <v>39</v>
      </c>
    </row>
    <row r="15" spans="1:14" ht="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32" customHeight="1" x14ac:dyDescent="0.3">
      <c r="A16" s="1"/>
      <c r="B16" s="12" t="s">
        <v>40</v>
      </c>
      <c r="C16" s="12" t="s">
        <v>41</v>
      </c>
      <c r="D16" s="12" t="s">
        <v>42</v>
      </c>
      <c r="E16" s="12" t="s">
        <v>43</v>
      </c>
      <c r="F16" s="12" t="s">
        <v>44</v>
      </c>
      <c r="G16" s="12" t="s">
        <v>45</v>
      </c>
      <c r="H16" s="12" t="s">
        <v>46</v>
      </c>
      <c r="I16" s="12" t="s">
        <v>47</v>
      </c>
      <c r="J16" s="12" t="s">
        <v>48</v>
      </c>
      <c r="K16" s="12" t="s">
        <v>49</v>
      </c>
      <c r="L16" s="12" t="s">
        <v>50</v>
      </c>
      <c r="M16" s="1"/>
      <c r="N16" s="1"/>
    </row>
    <row r="17" spans="1:14" ht="14" x14ac:dyDescent="0.3">
      <c r="A17" s="1"/>
      <c r="B17" s="3" t="s">
        <v>51</v>
      </c>
      <c r="C17" s="1"/>
      <c r="D17" s="13">
        <v>0</v>
      </c>
      <c r="E17" s="14">
        <v>0</v>
      </c>
      <c r="F17" s="1"/>
      <c r="G17" s="1"/>
      <c r="H17" s="1"/>
      <c r="I17" s="1"/>
      <c r="J17" s="1"/>
      <c r="K17" s="15">
        <f>C18/1000/(D18*24)</f>
        <v>25.783604913512161</v>
      </c>
      <c r="L17" s="15">
        <f>C18/2/1000/(D18/2*24)</f>
        <v>25.783604913512161</v>
      </c>
      <c r="M17" s="1"/>
      <c r="N17" s="1"/>
    </row>
    <row r="18" spans="1:14" ht="14" x14ac:dyDescent="0.3">
      <c r="A18" s="1"/>
      <c r="B18" s="16">
        <f>IF(1&lt;=$M$5,1,"")</f>
        <v>1</v>
      </c>
      <c r="C18" s="10">
        <f t="shared" ref="C18:C24" si="0">IF($B18&lt;=$M$5,$M$13-IF($B18=1,$M$8,0)-IF($B18=$M$5,$M$9,0),"")</f>
        <v>2130.3399999999997</v>
      </c>
      <c r="D18" s="9">
        <f>IF($B18&lt;=$M$5,$M$12*SUM($C$18:C18)/$M$4,"")</f>
        <v>3.4426592776461949E-3</v>
      </c>
      <c r="E18" s="8"/>
      <c r="F18" s="17" t="str">
        <f t="shared" ref="F18:F24" si="1">IF(AND($B18&lt;=$M$5,E18&lt;&gt;""),(D18-E18)*86400,"")</f>
        <v/>
      </c>
      <c r="G18" s="9" t="str">
        <f t="shared" ref="G18:G24" si="2">IF(AND($B18&lt;=$M$5,E18&lt;&gt;""),E18-E17,"")</f>
        <v/>
      </c>
      <c r="H18" s="11" t="str">
        <f t="shared" ref="H18:H24" si="3">IF(AND($B18&lt;=$M$5,E18&lt;&gt;""),C18/1000/(G18*24),"")</f>
        <v/>
      </c>
      <c r="I18" s="11">
        <f t="shared" ref="I18:I24" si="4">IF(AND($B18&lt;=$M$5,E17&lt;&gt;""),C18/1000/((D18-E17)*24),"")</f>
        <v>25.783604913512161</v>
      </c>
      <c r="J18" s="18" t="str">
        <f t="shared" ref="J18:J24" si="5">IF(AND(AND($B18&lt;=$M$5,E18&lt;&gt;""),I18&lt;&gt;""),H18-I18,"")</f>
        <v/>
      </c>
      <c r="K18" s="11" t="str">
        <f t="shared" ref="K18:K24" si="6">IF(AND(AND($B18&lt;=$M$5,E18&lt;&gt;""),$B18&lt;$M$5),C19/1000/((D19-E18)*24),"")</f>
        <v/>
      </c>
      <c r="L18" s="11" t="str">
        <f t="shared" ref="L18:L24" si="7">IF(AND(AND($B18&lt;=$M$5,E18&lt;&gt;""),$B18&lt;$M$5),C19/2/1000/(((D18+D19)/2-E18)*24),"")</f>
        <v/>
      </c>
      <c r="M18" s="1"/>
      <c r="N18" s="1"/>
    </row>
    <row r="19" spans="1:14" ht="14" x14ac:dyDescent="0.3">
      <c r="A19" s="1"/>
      <c r="B19" s="16">
        <f>IF(2&lt;=$M$5,2,"")</f>
        <v>2</v>
      </c>
      <c r="C19" s="10">
        <f t="shared" si="0"/>
        <v>2408.14</v>
      </c>
      <c r="D19" s="9">
        <f>IF($B19&lt;=$M$5,$M$12*SUM($C$18:C19)/$M$4,"")</f>
        <v>7.3342472461727726E-3</v>
      </c>
      <c r="E19" s="8"/>
      <c r="F19" s="17" t="str">
        <f t="shared" si="1"/>
        <v/>
      </c>
      <c r="G19" s="9" t="str">
        <f t="shared" si="2"/>
        <v/>
      </c>
      <c r="H19" s="11" t="str">
        <f t="shared" si="3"/>
        <v/>
      </c>
      <c r="I19" s="11" t="str">
        <f t="shared" si="4"/>
        <v/>
      </c>
      <c r="J19" s="18" t="str">
        <f t="shared" si="5"/>
        <v/>
      </c>
      <c r="K19" s="11" t="str">
        <f t="shared" si="6"/>
        <v/>
      </c>
      <c r="L19" s="11" t="str">
        <f t="shared" si="7"/>
        <v/>
      </c>
      <c r="M19" s="1"/>
      <c r="N19" s="1"/>
    </row>
    <row r="20" spans="1:14" ht="14" x14ac:dyDescent="0.3">
      <c r="A20" s="1"/>
      <c r="B20" s="16">
        <f>IF(3&lt;=$M$5,3,"")</f>
        <v>3</v>
      </c>
      <c r="C20" s="10">
        <f t="shared" si="0"/>
        <v>2318.2399999999998</v>
      </c>
      <c r="D20" s="9">
        <f>IF($B20&lt;=$M$5,$M$12*SUM($C$18:C20)/$M$4,"")</f>
        <v>1.1080555555555555E-2</v>
      </c>
      <c r="E20" s="8"/>
      <c r="F20" s="17" t="str">
        <f t="shared" si="1"/>
        <v/>
      </c>
      <c r="G20" s="9" t="str">
        <f t="shared" si="2"/>
        <v/>
      </c>
      <c r="H20" s="11" t="str">
        <f t="shared" si="3"/>
        <v/>
      </c>
      <c r="I20" s="11" t="str">
        <f t="shared" si="4"/>
        <v/>
      </c>
      <c r="J20" s="18" t="str">
        <f t="shared" si="5"/>
        <v/>
      </c>
      <c r="K20" s="11" t="str">
        <f t="shared" si="6"/>
        <v/>
      </c>
      <c r="L20" s="11" t="str">
        <f t="shared" si="7"/>
        <v/>
      </c>
      <c r="M20" s="1"/>
      <c r="N20" s="1"/>
    </row>
    <row r="21" spans="1:14" ht="14" x14ac:dyDescent="0.3">
      <c r="A21" s="1"/>
      <c r="B21" s="16" t="str">
        <f>IF(4&lt;=$M$5,4,"")</f>
        <v/>
      </c>
      <c r="C21" s="10" t="str">
        <f t="shared" si="0"/>
        <v/>
      </c>
      <c r="D21" s="9" t="str">
        <f>IF($B21&lt;=$M$5,$M$12*SUM($C$18:C21)/$M$4,"")</f>
        <v/>
      </c>
      <c r="E21" s="8"/>
      <c r="F21" s="17" t="str">
        <f t="shared" si="1"/>
        <v/>
      </c>
      <c r="G21" s="9" t="str">
        <f t="shared" si="2"/>
        <v/>
      </c>
      <c r="H21" s="11" t="str">
        <f t="shared" si="3"/>
        <v/>
      </c>
      <c r="I21" s="11" t="str">
        <f t="shared" si="4"/>
        <v/>
      </c>
      <c r="J21" s="18" t="str">
        <f t="shared" si="5"/>
        <v/>
      </c>
      <c r="K21" s="11" t="str">
        <f t="shared" si="6"/>
        <v/>
      </c>
      <c r="L21" s="11" t="str">
        <f t="shared" si="7"/>
        <v/>
      </c>
      <c r="M21" s="1"/>
      <c r="N21" s="1"/>
    </row>
    <row r="22" spans="1:14" ht="14" x14ac:dyDescent="0.3">
      <c r="A22" s="1"/>
      <c r="B22" s="16" t="str">
        <f>IF(5&lt;=$M$5,5,"")</f>
        <v/>
      </c>
      <c r="C22" s="10" t="str">
        <f t="shared" si="0"/>
        <v/>
      </c>
      <c r="D22" s="9" t="str">
        <f>IF($B22&lt;=$M$5,$M$12*SUM($C$18:C22)/$M$4,"")</f>
        <v/>
      </c>
      <c r="E22" s="8"/>
      <c r="F22" s="17" t="str">
        <f t="shared" si="1"/>
        <v/>
      </c>
      <c r="G22" s="9" t="str">
        <f t="shared" si="2"/>
        <v/>
      </c>
      <c r="H22" s="11" t="str">
        <f t="shared" si="3"/>
        <v/>
      </c>
      <c r="I22" s="11" t="str">
        <f t="shared" si="4"/>
        <v/>
      </c>
      <c r="J22" s="18" t="str">
        <f t="shared" si="5"/>
        <v/>
      </c>
      <c r="K22" s="11" t="str">
        <f t="shared" si="6"/>
        <v/>
      </c>
      <c r="L22" s="11" t="str">
        <f t="shared" si="7"/>
        <v/>
      </c>
      <c r="M22" s="1"/>
      <c r="N22" s="1"/>
    </row>
    <row r="23" spans="1:14" ht="14" x14ac:dyDescent="0.3">
      <c r="A23" s="1"/>
      <c r="B23" s="16" t="str">
        <f>IF(6&lt;=$M$5,6,"")</f>
        <v/>
      </c>
      <c r="C23" s="10" t="str">
        <f t="shared" si="0"/>
        <v/>
      </c>
      <c r="D23" s="9" t="str">
        <f>IF($B23&lt;=$M$5,$M$12*SUM($C$18:C23)/$M$4,"")</f>
        <v/>
      </c>
      <c r="E23" s="8"/>
      <c r="F23" s="17" t="str">
        <f t="shared" si="1"/>
        <v/>
      </c>
      <c r="G23" s="9" t="str">
        <f t="shared" si="2"/>
        <v/>
      </c>
      <c r="H23" s="11" t="str">
        <f t="shared" si="3"/>
        <v/>
      </c>
      <c r="I23" s="11" t="str">
        <f t="shared" si="4"/>
        <v/>
      </c>
      <c r="J23" s="18" t="str">
        <f t="shared" si="5"/>
        <v/>
      </c>
      <c r="K23" s="11" t="str">
        <f t="shared" si="6"/>
        <v/>
      </c>
      <c r="L23" s="11" t="str">
        <f t="shared" si="7"/>
        <v/>
      </c>
      <c r="M23" s="1"/>
      <c r="N23" s="1"/>
    </row>
    <row r="24" spans="1:14" ht="14" x14ac:dyDescent="0.3">
      <c r="A24" s="1"/>
      <c r="B24" s="16" t="str">
        <f>IF(7&lt;=$M$5,7,"")</f>
        <v/>
      </c>
      <c r="C24" s="10" t="str">
        <f t="shared" si="0"/>
        <v/>
      </c>
      <c r="D24" s="9" t="str">
        <f>IF($B24&lt;=$M$5,$M$12*SUM($C$18:C24)/$M$4,"")</f>
        <v/>
      </c>
      <c r="E24" s="8"/>
      <c r="F24" s="17" t="str">
        <f t="shared" si="1"/>
        <v/>
      </c>
      <c r="G24" s="9" t="str">
        <f t="shared" si="2"/>
        <v/>
      </c>
      <c r="H24" s="11" t="str">
        <f t="shared" si="3"/>
        <v/>
      </c>
      <c r="I24" s="11" t="str">
        <f t="shared" si="4"/>
        <v/>
      </c>
      <c r="J24" s="18" t="str">
        <f t="shared" si="5"/>
        <v/>
      </c>
      <c r="K24" s="11" t="str">
        <f t="shared" si="6"/>
        <v/>
      </c>
      <c r="L24" s="11" t="str">
        <f t="shared" si="7"/>
        <v/>
      </c>
      <c r="M24" s="1"/>
      <c r="N24" s="1"/>
    </row>
    <row r="25" spans="1:14" ht="1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4" x14ac:dyDescent="0.3">
      <c r="A26" s="1"/>
      <c r="B26" s="6" t="s">
        <v>52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4" x14ac:dyDescent="0.3">
      <c r="A27" s="1"/>
      <c r="B27" s="6" t="s">
        <v>53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4" x14ac:dyDescent="0.3">
      <c r="A28" s="1"/>
      <c r="B28" s="6" t="s">
        <v>54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4" x14ac:dyDescent="0.3">
      <c r="A29" s="1"/>
      <c r="B29" s="6" t="s">
        <v>55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4" x14ac:dyDescent="0.3">
      <c r="A30" s="1"/>
      <c r="B30" s="6" t="s">
        <v>56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4" x14ac:dyDescent="0.3">
      <c r="A31" s="1"/>
      <c r="B31" s="6" t="s">
        <v>57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4" x14ac:dyDescent="0.3">
      <c r="A32" s="1"/>
      <c r="B32" s="6" t="s">
        <v>58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</sheetData>
  <phoneticPr fontId="7"/>
  <conditionalFormatting sqref="F18:F24">
    <cfRule type="expression" dxfId="9" priority="4">
      <formula>AND(F18&lt;&gt;"",F18&lt;0)</formula>
    </cfRule>
    <cfRule type="expression" dxfId="8" priority="5">
      <formula>AND(F18&lt;&gt;"",F18&gt;=0)</formula>
    </cfRule>
  </conditionalFormatting>
  <conditionalFormatting sqref="H18:H24">
    <cfRule type="expression" dxfId="7" priority="1">
      <formula>AND(H18&lt;&gt;"",I18&lt;&gt;"",H18&lt;I18)</formula>
    </cfRule>
    <cfRule type="expression" dxfId="6" priority="2">
      <formula>AND(H18&lt;&gt;"",I18&lt;&gt;"",H18&gt;I18+1)</formula>
    </cfRule>
    <cfRule type="expression" dxfId="5" priority="3">
      <formula>AND(H18&lt;&gt;"",I18&lt;&gt;"")</formula>
    </cfRule>
  </conditionalFormatting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2"/>
  <sheetViews>
    <sheetView workbookViewId="0">
      <pane xSplit="2" ySplit="16" topLeftCell="C17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2" customWidth="1"/>
    <col min="2" max="2" width="10" customWidth="1"/>
    <col min="3" max="3" width="11" customWidth="1"/>
    <col min="4" max="5" width="13" customWidth="1"/>
    <col min="6" max="6" width="10" customWidth="1"/>
    <col min="7" max="9" width="11" customWidth="1"/>
    <col min="10" max="10" width="10" customWidth="1"/>
    <col min="11" max="11" width="24" customWidth="1"/>
    <col min="12" max="12" width="13" customWidth="1"/>
    <col min="13" max="13" width="12" customWidth="1"/>
    <col min="14" max="14" width="60" customWidth="1"/>
  </cols>
  <sheetData>
    <row r="1" spans="1:14" ht="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 x14ac:dyDescent="0.4">
      <c r="A2" s="1"/>
      <c r="B2" s="2" t="s">
        <v>60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4" t="s">
        <v>21</v>
      </c>
      <c r="L3" s="1"/>
      <c r="M3" s="1"/>
      <c r="N3" s="1"/>
    </row>
    <row r="4" spans="1:14" ht="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3" t="s">
        <v>22</v>
      </c>
      <c r="L4" s="1"/>
      <c r="M4" s="5">
        <v>16389.68</v>
      </c>
      <c r="N4" s="6" t="s">
        <v>23</v>
      </c>
    </row>
    <row r="5" spans="1:14" ht="1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3" t="s">
        <v>24</v>
      </c>
      <c r="L5" s="1"/>
      <c r="M5" s="7">
        <v>7</v>
      </c>
      <c r="N5" s="6" t="s">
        <v>23</v>
      </c>
    </row>
    <row r="6" spans="1:14" ht="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3" t="s">
        <v>25</v>
      </c>
      <c r="L6" s="1"/>
      <c r="M6" s="8">
        <f>TIME(0,39,20)+0.11/86400</f>
        <v>2.7316087962962966E-2</v>
      </c>
      <c r="N6" s="6" t="s">
        <v>26</v>
      </c>
    </row>
    <row r="7" spans="1:14" ht="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3" t="s">
        <v>27</v>
      </c>
      <c r="L7" s="1"/>
      <c r="M7" s="7">
        <v>30</v>
      </c>
      <c r="N7" s="6" t="s">
        <v>28</v>
      </c>
    </row>
    <row r="8" spans="1:14" ht="1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3" t="s">
        <v>29</v>
      </c>
      <c r="L8" s="1"/>
      <c r="M8" s="5">
        <v>277.8</v>
      </c>
      <c r="N8" s="6" t="s">
        <v>30</v>
      </c>
    </row>
    <row r="9" spans="1:14" ht="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3" t="s">
        <v>31</v>
      </c>
      <c r="L9" s="1"/>
      <c r="M9" s="5">
        <v>89.9</v>
      </c>
      <c r="N9" s="6" t="s">
        <v>32</v>
      </c>
    </row>
    <row r="10" spans="1:14" ht="1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4" t="s">
        <v>33</v>
      </c>
      <c r="L11" s="1"/>
      <c r="M11" s="1"/>
      <c r="N11" s="1"/>
    </row>
    <row r="12" spans="1:14" ht="1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3" t="s">
        <v>34</v>
      </c>
      <c r="L12" s="1"/>
      <c r="M12" s="9">
        <f>$M$6-$M$7/86400</f>
        <v>2.6968865740740745E-2</v>
      </c>
      <c r="N12" s="6" t="s">
        <v>35</v>
      </c>
    </row>
    <row r="13" spans="1:14" ht="1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3" t="s">
        <v>36</v>
      </c>
      <c r="L13" s="1"/>
      <c r="M13" s="10">
        <f>($M$4+$M$8+$M$9)/$M$5</f>
        <v>2393.9114285714286</v>
      </c>
      <c r="N13" s="6" t="s">
        <v>37</v>
      </c>
    </row>
    <row r="14" spans="1:14" ht="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3" t="s">
        <v>38</v>
      </c>
      <c r="L14" s="1"/>
      <c r="M14" s="11">
        <f>$M$4/1000/($M$12*24)</f>
        <v>25.321915274386186</v>
      </c>
      <c r="N14" s="6" t="s">
        <v>39</v>
      </c>
    </row>
    <row r="15" spans="1:14" ht="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32" customHeight="1" x14ac:dyDescent="0.3">
      <c r="A16" s="1"/>
      <c r="B16" s="12" t="s">
        <v>40</v>
      </c>
      <c r="C16" s="12" t="s">
        <v>41</v>
      </c>
      <c r="D16" s="12" t="s">
        <v>42</v>
      </c>
      <c r="E16" s="12" t="s">
        <v>43</v>
      </c>
      <c r="F16" s="12" t="s">
        <v>44</v>
      </c>
      <c r="G16" s="12" t="s">
        <v>45</v>
      </c>
      <c r="H16" s="12" t="s">
        <v>46</v>
      </c>
      <c r="I16" s="12" t="s">
        <v>47</v>
      </c>
      <c r="J16" s="12" t="s">
        <v>48</v>
      </c>
      <c r="K16" s="12" t="s">
        <v>49</v>
      </c>
      <c r="L16" s="12" t="s">
        <v>50</v>
      </c>
      <c r="M16" s="1"/>
      <c r="N16" s="1"/>
    </row>
    <row r="17" spans="1:14" ht="14" x14ac:dyDescent="0.3">
      <c r="A17" s="1"/>
      <c r="B17" s="3" t="s">
        <v>51</v>
      </c>
      <c r="C17" s="1"/>
      <c r="D17" s="13">
        <v>0</v>
      </c>
      <c r="E17" s="14">
        <v>0</v>
      </c>
      <c r="F17" s="1"/>
      <c r="G17" s="1"/>
      <c r="H17" s="1"/>
      <c r="I17" s="1"/>
      <c r="J17" s="1"/>
      <c r="K17" s="15">
        <f>C18/1000/(D18*24)</f>
        <v>25.321915274386182</v>
      </c>
      <c r="L17" s="15">
        <f>C18/2/1000/(D18/2*24)</f>
        <v>25.321915274386182</v>
      </c>
      <c r="M17" s="1"/>
      <c r="N17" s="1"/>
    </row>
    <row r="18" spans="1:14" ht="14" x14ac:dyDescent="0.3">
      <c r="A18" s="1"/>
      <c r="B18" s="16">
        <f>IF(1&lt;=$M$5,1,"")</f>
        <v>1</v>
      </c>
      <c r="C18" s="10">
        <f t="shared" ref="C18:C24" si="0">IF($B18&lt;=$M$5,$M$13-IF($B18=1,$M$8,0)-IF($B18=$M$5,$M$9,0),"")</f>
        <v>2116.1114285714284</v>
      </c>
      <c r="D18" s="9">
        <f>IF($B18&lt;=$M$5,$M$12*SUM($C$18:C18)/$M$4,"")</f>
        <v>3.4820158178555014E-3</v>
      </c>
      <c r="E18" s="8"/>
      <c r="F18" s="17" t="str">
        <f t="shared" ref="F18:F24" si="1">IF(AND($B18&lt;=$M$5,E18&lt;&gt;""),(D18-E18)*86400,"")</f>
        <v/>
      </c>
      <c r="G18" s="9" t="str">
        <f t="shared" ref="G18:G24" si="2">IF(AND($B18&lt;=$M$5,E18&lt;&gt;""),E18-E17,"")</f>
        <v/>
      </c>
      <c r="H18" s="11" t="str">
        <f t="shared" ref="H18:H24" si="3">IF(AND($B18&lt;=$M$5,E18&lt;&gt;""),C18/1000/(G18*24),"")</f>
        <v/>
      </c>
      <c r="I18" s="11">
        <f t="shared" ref="I18:I24" si="4">IF(AND($B18&lt;=$M$5,E17&lt;&gt;""),C18/1000/((D18-E17)*24),"")</f>
        <v>25.321915274386182</v>
      </c>
      <c r="J18" s="18" t="str">
        <f t="shared" ref="J18:J24" si="5">IF(AND(AND($B18&lt;=$M$5,E18&lt;&gt;""),I18&lt;&gt;""),H18-I18,"")</f>
        <v/>
      </c>
      <c r="K18" s="11" t="str">
        <f t="shared" ref="K18:K24" si="6">IF(AND(AND($B18&lt;=$M$5,E18&lt;&gt;""),$B18&lt;$M$5),C19/1000/((D19-E18)*24),"")</f>
        <v/>
      </c>
      <c r="L18" s="11" t="str">
        <f t="shared" ref="L18:L24" si="7">IF(AND(AND($B18&lt;=$M$5,E18&lt;&gt;""),$B18&lt;$M$5),C19/2/1000/(((D18+D19)/2-E18)*24),"")</f>
        <v/>
      </c>
      <c r="M18" s="1"/>
      <c r="N18" s="1"/>
    </row>
    <row r="19" spans="1:14" ht="14" x14ac:dyDescent="0.3">
      <c r="A19" s="1"/>
      <c r="B19" s="16">
        <f>IF(2&lt;=$M$5,2,"")</f>
        <v>2</v>
      </c>
      <c r="C19" s="10">
        <f t="shared" si="0"/>
        <v>2393.9114285714286</v>
      </c>
      <c r="D19" s="9">
        <f>IF($B19&lt;=$M$5,$M$12*SUM($C$18:C19)/$M$4,"")</f>
        <v>7.4211455575677911E-3</v>
      </c>
      <c r="E19" s="8"/>
      <c r="F19" s="17" t="str">
        <f t="shared" si="1"/>
        <v/>
      </c>
      <c r="G19" s="9" t="str">
        <f t="shared" si="2"/>
        <v/>
      </c>
      <c r="H19" s="11" t="str">
        <f t="shared" si="3"/>
        <v/>
      </c>
      <c r="I19" s="11" t="str">
        <f t="shared" si="4"/>
        <v/>
      </c>
      <c r="J19" s="18" t="str">
        <f t="shared" si="5"/>
        <v/>
      </c>
      <c r="K19" s="11" t="str">
        <f t="shared" si="6"/>
        <v/>
      </c>
      <c r="L19" s="11" t="str">
        <f t="shared" si="7"/>
        <v/>
      </c>
      <c r="M19" s="1"/>
      <c r="N19" s="1"/>
    </row>
    <row r="20" spans="1:14" ht="14" x14ac:dyDescent="0.3">
      <c r="A20" s="1"/>
      <c r="B20" s="16">
        <f>IF(3&lt;=$M$5,3,"")</f>
        <v>3</v>
      </c>
      <c r="C20" s="10">
        <f t="shared" si="0"/>
        <v>2393.9114285714286</v>
      </c>
      <c r="D20" s="9">
        <f>IF($B20&lt;=$M$5,$M$12*SUM($C$18:C20)/$M$4,"")</f>
        <v>1.1360275297280082E-2</v>
      </c>
      <c r="E20" s="8"/>
      <c r="F20" s="17" t="str">
        <f t="shared" si="1"/>
        <v/>
      </c>
      <c r="G20" s="9" t="str">
        <f t="shared" si="2"/>
        <v/>
      </c>
      <c r="H20" s="11" t="str">
        <f t="shared" si="3"/>
        <v/>
      </c>
      <c r="I20" s="11" t="str">
        <f t="shared" si="4"/>
        <v/>
      </c>
      <c r="J20" s="18" t="str">
        <f t="shared" si="5"/>
        <v/>
      </c>
      <c r="K20" s="11" t="str">
        <f t="shared" si="6"/>
        <v/>
      </c>
      <c r="L20" s="11" t="str">
        <f t="shared" si="7"/>
        <v/>
      </c>
      <c r="M20" s="1"/>
      <c r="N20" s="1"/>
    </row>
    <row r="21" spans="1:14" ht="14" x14ac:dyDescent="0.3">
      <c r="A21" s="1"/>
      <c r="B21" s="16">
        <f>IF(4&lt;=$M$5,4,"")</f>
        <v>4</v>
      </c>
      <c r="C21" s="10">
        <f t="shared" si="0"/>
        <v>2393.9114285714286</v>
      </c>
      <c r="D21" s="9">
        <f>IF($B21&lt;=$M$5,$M$12*SUM($C$18:C21)/$M$4,"")</f>
        <v>1.5299405036992375E-2</v>
      </c>
      <c r="E21" s="8"/>
      <c r="F21" s="17" t="str">
        <f t="shared" si="1"/>
        <v/>
      </c>
      <c r="G21" s="9" t="str">
        <f t="shared" si="2"/>
        <v/>
      </c>
      <c r="H21" s="11" t="str">
        <f t="shared" si="3"/>
        <v/>
      </c>
      <c r="I21" s="11" t="str">
        <f t="shared" si="4"/>
        <v/>
      </c>
      <c r="J21" s="18" t="str">
        <f t="shared" si="5"/>
        <v/>
      </c>
      <c r="K21" s="11" t="str">
        <f t="shared" si="6"/>
        <v/>
      </c>
      <c r="L21" s="11" t="str">
        <f t="shared" si="7"/>
        <v/>
      </c>
      <c r="M21" s="1"/>
      <c r="N21" s="1"/>
    </row>
    <row r="22" spans="1:14" ht="14" x14ac:dyDescent="0.3">
      <c r="A22" s="1"/>
      <c r="B22" s="16">
        <f>IF(5&lt;=$M$5,5,"")</f>
        <v>5</v>
      </c>
      <c r="C22" s="10">
        <f t="shared" si="0"/>
        <v>2393.9114285714286</v>
      </c>
      <c r="D22" s="9">
        <f>IF($B22&lt;=$M$5,$M$12*SUM($C$18:C22)/$M$4,"")</f>
        <v>1.9238534776704664E-2</v>
      </c>
      <c r="E22" s="8"/>
      <c r="F22" s="17" t="str">
        <f t="shared" si="1"/>
        <v/>
      </c>
      <c r="G22" s="9" t="str">
        <f t="shared" si="2"/>
        <v/>
      </c>
      <c r="H22" s="11" t="str">
        <f t="shared" si="3"/>
        <v/>
      </c>
      <c r="I22" s="11" t="str">
        <f t="shared" si="4"/>
        <v/>
      </c>
      <c r="J22" s="18" t="str">
        <f t="shared" si="5"/>
        <v/>
      </c>
      <c r="K22" s="11" t="str">
        <f t="shared" si="6"/>
        <v/>
      </c>
      <c r="L22" s="11" t="str">
        <f t="shared" si="7"/>
        <v/>
      </c>
      <c r="M22" s="1"/>
      <c r="N22" s="1"/>
    </row>
    <row r="23" spans="1:14" ht="14" x14ac:dyDescent="0.3">
      <c r="A23" s="1"/>
      <c r="B23" s="16">
        <f>IF(6&lt;=$M$5,6,"")</f>
        <v>6</v>
      </c>
      <c r="C23" s="10">
        <f t="shared" si="0"/>
        <v>2393.9114285714286</v>
      </c>
      <c r="D23" s="9">
        <f>IF($B23&lt;=$M$5,$M$12*SUM($C$18:C23)/$M$4,"")</f>
        <v>2.3177664516416951E-2</v>
      </c>
      <c r="E23" s="8"/>
      <c r="F23" s="17" t="str">
        <f t="shared" si="1"/>
        <v/>
      </c>
      <c r="G23" s="9" t="str">
        <f t="shared" si="2"/>
        <v/>
      </c>
      <c r="H23" s="11" t="str">
        <f t="shared" si="3"/>
        <v/>
      </c>
      <c r="I23" s="11" t="str">
        <f t="shared" si="4"/>
        <v/>
      </c>
      <c r="J23" s="18" t="str">
        <f t="shared" si="5"/>
        <v/>
      </c>
      <c r="K23" s="11" t="str">
        <f t="shared" si="6"/>
        <v/>
      </c>
      <c r="L23" s="11" t="str">
        <f t="shared" si="7"/>
        <v/>
      </c>
      <c r="M23" s="1"/>
      <c r="N23" s="1"/>
    </row>
    <row r="24" spans="1:14" ht="14" x14ac:dyDescent="0.3">
      <c r="A24" s="1"/>
      <c r="B24" s="16">
        <f>IF(7&lt;=$M$5,7,"")</f>
        <v>7</v>
      </c>
      <c r="C24" s="10">
        <f t="shared" si="0"/>
        <v>2304.0114285714285</v>
      </c>
      <c r="D24" s="9">
        <f>IF($B24&lt;=$M$5,$M$12*SUM($C$18:C24)/$M$4,"")</f>
        <v>2.6968865740740745E-2</v>
      </c>
      <c r="E24" s="8"/>
      <c r="F24" s="17" t="str">
        <f t="shared" si="1"/>
        <v/>
      </c>
      <c r="G24" s="9" t="str">
        <f t="shared" si="2"/>
        <v/>
      </c>
      <c r="H24" s="11" t="str">
        <f t="shared" si="3"/>
        <v/>
      </c>
      <c r="I24" s="11" t="str">
        <f t="shared" si="4"/>
        <v/>
      </c>
      <c r="J24" s="18" t="str">
        <f t="shared" si="5"/>
        <v/>
      </c>
      <c r="K24" s="11" t="str">
        <f t="shared" si="6"/>
        <v/>
      </c>
      <c r="L24" s="11" t="str">
        <f t="shared" si="7"/>
        <v/>
      </c>
      <c r="M24" s="1"/>
      <c r="N24" s="1"/>
    </row>
    <row r="25" spans="1:14" ht="1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4" x14ac:dyDescent="0.3">
      <c r="A26" s="1"/>
      <c r="B26" s="6" t="s">
        <v>52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4" x14ac:dyDescent="0.3">
      <c r="A27" s="1"/>
      <c r="B27" s="6" t="s">
        <v>53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4" x14ac:dyDescent="0.3">
      <c r="A28" s="1"/>
      <c r="B28" s="6" t="s">
        <v>54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4" x14ac:dyDescent="0.3">
      <c r="A29" s="1"/>
      <c r="B29" s="6" t="s">
        <v>55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4" x14ac:dyDescent="0.3">
      <c r="A30" s="1"/>
      <c r="B30" s="6" t="s">
        <v>56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4" x14ac:dyDescent="0.3">
      <c r="A31" s="1"/>
      <c r="B31" s="6" t="s">
        <v>57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4" x14ac:dyDescent="0.3">
      <c r="A32" s="1"/>
      <c r="B32" s="6" t="s">
        <v>58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</sheetData>
  <phoneticPr fontId="7"/>
  <conditionalFormatting sqref="F18:F24">
    <cfRule type="expression" dxfId="4" priority="4">
      <formula>AND(F18&lt;&gt;"",F18&lt;0)</formula>
    </cfRule>
    <cfRule type="expression" dxfId="3" priority="5">
      <formula>AND(F18&lt;&gt;"",F18&gt;=0)</formula>
    </cfRule>
  </conditionalFormatting>
  <conditionalFormatting sqref="H18:H24">
    <cfRule type="expression" dxfId="2" priority="1">
      <formula>AND(H18&lt;&gt;"",I18&lt;&gt;"",H18&lt;I18)</formula>
    </cfRule>
    <cfRule type="expression" dxfId="1" priority="2">
      <formula>AND(H18&lt;&gt;"",I18&lt;&gt;"",H18&gt;I18+1)</formula>
    </cfRule>
    <cfRule type="expression" dxfId="0" priority="3">
      <formula>AND(H18&lt;&gt;"",I18&lt;&gt;"")</formula>
    </cfRule>
  </conditionalFormatting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workbookViewId="0"/>
  </sheetViews>
  <sheetFormatPr defaultRowHeight="13" x14ac:dyDescent="0.2"/>
  <cols>
    <col min="1" max="1" width="2" customWidth="1"/>
    <col min="2" max="2" width="8" customWidth="1"/>
    <col min="3" max="3" width="14" customWidth="1"/>
    <col min="4" max="4" width="12" customWidth="1"/>
    <col min="5" max="9" width="13" customWidth="1"/>
  </cols>
  <sheetData>
    <row r="1" spans="1:9" ht="14" x14ac:dyDescent="0.3">
      <c r="A1" s="1"/>
      <c r="B1" s="1"/>
      <c r="C1" s="1"/>
      <c r="D1" s="1"/>
      <c r="E1" s="1"/>
      <c r="F1" s="1"/>
      <c r="G1" s="1"/>
      <c r="H1" s="1"/>
      <c r="I1" s="1"/>
    </row>
    <row r="2" spans="1:9" ht="18" x14ac:dyDescent="0.4">
      <c r="A2" s="1"/>
      <c r="B2" s="2" t="s">
        <v>61</v>
      </c>
      <c r="C2" s="1"/>
      <c r="D2" s="1"/>
      <c r="E2" s="1"/>
      <c r="F2" s="1"/>
      <c r="G2" s="1"/>
      <c r="H2" s="1"/>
      <c r="I2" s="1"/>
    </row>
    <row r="3" spans="1:9" ht="14" x14ac:dyDescent="0.3">
      <c r="A3" s="1"/>
      <c r="B3" s="6" t="s">
        <v>62</v>
      </c>
      <c r="C3" s="1"/>
      <c r="D3" s="1"/>
      <c r="E3" s="1"/>
      <c r="F3" s="1"/>
      <c r="G3" s="1"/>
      <c r="H3" s="1"/>
      <c r="I3" s="1"/>
    </row>
    <row r="4" spans="1:9" ht="14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2" customHeight="1" x14ac:dyDescent="0.3">
      <c r="A5" s="1"/>
      <c r="B5" s="12" t="s">
        <v>40</v>
      </c>
      <c r="C5" s="12" t="s">
        <v>43</v>
      </c>
      <c r="D5" s="12" t="s">
        <v>45</v>
      </c>
      <c r="E5" s="12" t="s">
        <v>63</v>
      </c>
      <c r="F5" s="12" t="s">
        <v>64</v>
      </c>
      <c r="G5" s="12" t="s">
        <v>65</v>
      </c>
      <c r="H5" s="12" t="s">
        <v>66</v>
      </c>
      <c r="I5" s="12" t="s">
        <v>67</v>
      </c>
    </row>
    <row r="6" spans="1:9" ht="14" x14ac:dyDescent="0.3">
      <c r="A6" s="1"/>
      <c r="B6" s="19">
        <v>1</v>
      </c>
      <c r="C6" s="20">
        <f>TIME(0,4,57)+0.1/86400</f>
        <v>3.4386574074074076E-3</v>
      </c>
      <c r="D6" s="21">
        <f>C6</f>
        <v>3.4386574074074076E-3</v>
      </c>
      <c r="E6" s="22">
        <f>CN二輪車!$M$4/CN二輪車!$M$5</f>
        <v>2285.5733333333333</v>
      </c>
      <c r="F6" s="23">
        <f>E6/1000/(D6*24)</f>
        <v>27.694594412655668</v>
      </c>
      <c r="G6" s="22">
        <f>CN二輪車!C18</f>
        <v>2130.3399999999997</v>
      </c>
      <c r="H6" s="23">
        <f>G6/1000/(D6*24)</f>
        <v>25.813611578593065</v>
      </c>
      <c r="I6" s="24">
        <v>2091</v>
      </c>
    </row>
    <row r="7" spans="1:9" ht="14" x14ac:dyDescent="0.3">
      <c r="A7" s="1"/>
      <c r="B7" s="19">
        <v>2</v>
      </c>
      <c r="C7" s="20">
        <f>TIME(0,10,36)+0/86400</f>
        <v>7.3611111111111108E-3</v>
      </c>
      <c r="D7" s="21">
        <f>C7-C6</f>
        <v>3.9224537037037032E-3</v>
      </c>
      <c r="E7" s="22">
        <f>CN二輪車!$M$4/CN二輪車!$M$5</f>
        <v>2285.5733333333333</v>
      </c>
      <c r="F7" s="23">
        <f>E7/1000/(D7*24)</f>
        <v>24.278737090587196</v>
      </c>
      <c r="G7" s="22">
        <f>CN二輪車!C19</f>
        <v>2408.14</v>
      </c>
      <c r="H7" s="23">
        <f>G7/1000/(D7*24)</f>
        <v>25.580714074948364</v>
      </c>
      <c r="I7" s="24">
        <v>2375</v>
      </c>
    </row>
    <row r="8" spans="1:9" ht="14" x14ac:dyDescent="0.3">
      <c r="A8" s="1"/>
      <c r="B8" s="19">
        <v>3</v>
      </c>
      <c r="C8" s="20">
        <f>TIME(0,16,0)+0.9/86400</f>
        <v>1.1121527777777779E-2</v>
      </c>
      <c r="D8" s="21">
        <f>C8-C7</f>
        <v>3.760416666666668E-3</v>
      </c>
      <c r="E8" s="22">
        <f>CN二輪車!$M$4/CN二輪車!$M$5</f>
        <v>2285.5733333333333</v>
      </c>
      <c r="F8" s="23">
        <f>E8/1000/(D8*24)</f>
        <v>25.324912280701746</v>
      </c>
      <c r="G8" s="22">
        <f>CN二輪車!C20</f>
        <v>2318.2399999999998</v>
      </c>
      <c r="H8" s="23">
        <f>G8/1000/(D8*24)</f>
        <v>25.686869806094172</v>
      </c>
      <c r="I8" s="24">
        <v>2275</v>
      </c>
    </row>
    <row r="9" spans="1:9" ht="14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ht="14" x14ac:dyDescent="0.3">
      <c r="A10" s="1"/>
      <c r="B10" s="6" t="s">
        <v>68</v>
      </c>
      <c r="C10" s="1"/>
      <c r="D10" s="1"/>
      <c r="E10" s="1"/>
      <c r="F10" s="1"/>
      <c r="G10" s="1"/>
      <c r="H10" s="1"/>
      <c r="I10" s="1"/>
    </row>
    <row r="11" spans="1:9" ht="14" x14ac:dyDescent="0.3">
      <c r="A11" s="1"/>
      <c r="B11" s="6" t="s">
        <v>69</v>
      </c>
      <c r="C11" s="1"/>
      <c r="D11" s="1"/>
      <c r="E11" s="1"/>
      <c r="F11" s="1"/>
      <c r="G11" s="1"/>
      <c r="H11" s="1"/>
      <c r="I11" s="1"/>
    </row>
    <row r="12" spans="1:9" ht="14" x14ac:dyDescent="0.3">
      <c r="A12" s="1"/>
      <c r="B12" s="6" t="s">
        <v>70</v>
      </c>
      <c r="C12" s="1"/>
      <c r="D12" s="1"/>
      <c r="E12" s="1"/>
      <c r="F12" s="1"/>
      <c r="G12" s="1"/>
      <c r="H12" s="1"/>
      <c r="I12" s="1"/>
    </row>
  </sheetData>
  <phoneticPr fontId="7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使い方</vt:lpstr>
      <vt:lpstr>CN二輪車</vt:lpstr>
      <vt:lpstr>電動二輪</vt:lpstr>
      <vt:lpstr>CNグループⅢ</vt:lpstr>
      <vt:lpstr>昨年の実走（検証）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信行 髙尾</cp:lastModifiedBy>
  <dcterms:created xsi:type="dcterms:W3CDTF">2026-10-22T13:11:42Z</dcterms:created>
  <dcterms:modified xsi:type="dcterms:W3CDTF">2026-10-22T13:12:17Z</dcterms:modified>
</cp:coreProperties>
</file>
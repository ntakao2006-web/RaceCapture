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5b7e5435245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発注BOM" sheetId="1" r:id="R7877e6662aac4879"/>
    <x:sheet xmlns:r="http://schemas.openxmlformats.org/officeDocument/2006/relationships" name="代替・手持ち・DNP" sheetId="2" r:id="R64d2dd4bb63544dd"/>
    <x:sheet xmlns:r="http://schemas.openxmlformats.org/officeDocument/2006/relationships" name="選定根拠" sheetId="3" r:id="Rab536fd488cf4a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0"/>
      <x:color rgb="FF182C3D"/>
      <x:name val="Yu Gothic"/>
    </x:font>
    <x:font>
      <x:b/>
      <x:sz val="17"/>
      <x:color rgb="FFFFFFFF"/>
      <x:name val="Yu Gothic"/>
    </x:font>
    <x:font>
      <x:b/>
      <x:sz val="10"/>
      <x:color rgb="FFFFFFFF"/>
      <x:name val="Yu Gothic"/>
    </x:font>
    <x:font>
      <x:sz val="10"/>
      <x:color rgb="FF2166A5"/>
      <x:name val="Yu Gothic"/>
    </x:font>
    <x:font>
      <x:b/>
      <x:sz val="10"/>
      <x:color rgb="FF182C3D"/>
      <x:name val="Yu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173B50"/>
      </x:patternFill>
    </x:fill>
    <x:fill>
      <x:patternFill patternType="solid">
        <x:fgColor rgb="FFEAF3F5"/>
      </x:patternFill>
    </x:fill>
    <x:fill>
      <x:patternFill patternType="solid">
        <x:fgColor rgb="FF24566C"/>
      </x:patternFill>
    </x:fill>
    <x:fill>
      <x:patternFill patternType="solid">
        <x:fgColor rgb="FFF1F6F8"/>
      </x:patternFill>
    </x:fill>
    <x:fill>
      <x:patternFill patternType="solid">
        <x:fgColor rgb="FFD7E9EC"/>
      </x:patternFill>
    </x:fill>
    <x:fill>
      <x:patternFill patternType="solid">
        <x:fgColor rgb="FFFFF0D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4" fillId="0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horizontal="right" vertical="center" wrapText="1"/>
    </x:xf>
    <x:xf numFmtId="201" fontId="4" fillId="5" borderId="0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0b31293b04946" /><Relationship Type="http://schemas.openxmlformats.org/officeDocument/2006/relationships/theme" Target="/xl/theme/theme1.xml" Id="R7fd755de0f08400d" /><Relationship Type="http://schemas.openxmlformats.org/officeDocument/2006/relationships/sharedStrings" Target="/xl/sharedStrings.xml" Id="R8e6040a3b60a4386" /><Relationship Type="http://schemas.openxmlformats.org/officeDocument/2006/relationships/worksheet" Target="/xl/worksheets/sheet1.xml" Id="R7877e6662aac4879" /><Relationship Type="http://schemas.openxmlformats.org/officeDocument/2006/relationships/worksheet" Target="/xl/worksheets/sheet2.xml" Id="R64d2dd4bb63544dd" /><Relationship Type="http://schemas.openxmlformats.org/officeDocument/2006/relationships/worksheet" Target="/xl/worksheets/sheet3.xml" Id="Rab536fd488cf4a33" /></Relationships>
</file>

<file path=xl/tables/table1.xml><?xml version="1.0" encoding="utf-8"?>
<x:table xmlns:x="http://schemas.openxmlformats.org/spreadsheetml/2006/main" id="1" name="DigiKeyOrder" displayName="DigiKeyOrder" ref="A6:H37" headerRowCount="1" totalsRowCount="0" totalsRowShown="0">
  <x:tableColumns count="8">
    <x:tableColumn id="1" name="実装位置"/>
    <x:tableColumn id="2" name="品目・定格"/>
    <x:tableColumn id="3" name="サイズ"/>
    <x:tableColumn id="4" name="メーカー品番"/>
    <x:tableColumn id="5" name="DigiKey品番"/>
    <x:tableColumn id="6" name="実装数"/>
    <x:tableColumn id="7" name="予備数"/>
    <x:tableColumn id="8" name="発注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2043af00ba42d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26.8799991607666" hidden="0" customWidth="1"/>
    <x:col min="3" max="3" width="18.75" hidden="0" customWidth="1"/>
    <x:col min="4" max="4" width="29.3799991607666" hidden="0" customWidth="1"/>
    <x:col min="5" max="5" width="33.130001068115234" hidden="0" customWidth="1"/>
    <x:col min="6" max="6" width="7.5" hidden="0" customWidth="1"/>
    <x:col min="7" max="7" width="7.5" hidden="0" customWidth="1"/>
    <x:col min="8" max="8" width="8.130000114440918" hidden="0" customWidth="1"/>
  </x:cols>
  <x:sheetData>
    <x:row r="1" ht="31.5" customHeight="1">
      <x:c r="A1" s="5" t="str">
        <x:v>logger_v2  |  DigiKey 発注BOM  |  基板1台分</x:v>
      </x:c>
      <x:c r="B1" s="5" t="str">
        <x:v>logger_v2  |  DigiKey 発注BOM  |  基板1台分</x:v>
      </x:c>
      <x:c r="C1" s="5" t="str">
        <x:v>logger_v2  |  DigiKey 発注BOM  |  基板1台分</x:v>
      </x:c>
      <x:c r="D1" s="5" t="str">
        <x:v>logger_v2  |  DigiKey 発注BOM  |  基板1台分</x:v>
      </x:c>
      <x:c r="E1" s="5" t="str">
        <x:v>logger_v2  |  DigiKey 発注BOM  |  基板1台分</x:v>
      </x:c>
      <x:c r="F1" s="5" t="str">
        <x:v>logger_v2  |  DigiKey 発注BOM  |  基板1台分</x:v>
      </x:c>
      <x:c r="G1" s="5" t="str">
        <x:v>logger_v2  |  DigiKey 発注BOM  |  基板1台分</x:v>
      </x:c>
      <x:c r="H1" s="5" t="str">
        <x:v>logger_v2  |  DigiKey 発注BOM  |  基板1台分</x:v>
      </x:c>
    </x:row>
    <x:row r="2" ht="26.25" customHeight="1">
      <x:c r="A2" s="6" t="str">
        <x:v>2026-09-23調査 ／ 31品目・実装79個＋予備110個＝189個。D2・D3も同じ基板に実装可能な機能代替品を割り当て、全品DigiKeyに統一。</x:v>
      </x:c>
      <x:c r="B2" s="6" t="str">
        <x:v>2026-09-23調査 ／ 31品目・実装79個＋予備110個＝189個。D2・D3も同じ基板に実装可能な機能代替品を割り当て、全品DigiKeyに統一。</x:v>
      </x:c>
      <x:c r="C2" s="6" t="str">
        <x:v>2026-09-23調査 ／ 31品目・実装79個＋予備110個＝189個。D2・D3も同じ基板に実装可能な機能代替品を割り当て、全品DigiKeyに統一。</x:v>
      </x:c>
      <x:c r="D2" s="6" t="str">
        <x:v>2026-09-23調査 ／ 31品目・実装79個＋予備110個＝189個。D2・D3も同じ基板に実装可能な機能代替品を割り当て、全品DigiKeyに統一。</x:v>
      </x:c>
      <x:c r="E2" s="6" t="str">
        <x:v>2026-09-23調査 ／ 31品目・実装79個＋予備110個＝189個。D2・D3も同じ基板に実装可能な機能代替品を割り当て、全品DigiKeyに統一。</x:v>
      </x:c>
      <x:c r="F2" s="6" t="str">
        <x:v>2026-09-23調査 ／ 31品目・実装79個＋予備110個＝189個。D2・D3も同じ基板に実装可能な機能代替品を割り当て、全品DigiKeyに統一。</x:v>
      </x:c>
      <x:c r="G2" s="6" t="str">
        <x:v>2026-09-23調査 ／ 31品目・実装79個＋予備110個＝189個。D2・D3も同じ基板に実装可能な機能代替品を割り当て、全品DigiKeyに統一。</x:v>
      </x:c>
      <x:c r="H2" s="6" t="str">
        <x:v>2026-09-23調査 ／ 31品目・実装79個＋予備110個＝189個。D2・D3も同じ基板に実装可能な機能代替品を割り当て、全品DigiKeyに統一。</x:v>
      </x:c>
    </x:row>
    <x:row r="3" ht="26.25" customHeight="1">
      <x:c r="A3" s="6" t="str">
        <x:v>手持ち：SD、IMU、GNSS、SMA、ピンヘッダ、4.7kΩ・10kΩ抵抗。Molexは基板側を合計2個だけ。</x:v>
      </x:c>
      <x:c r="B3" s="6" t="str">
        <x:v>手持ち：SD、IMU、GNSS、SMA、ピンヘッダ、4.7kΩ・10kΩ抵抗。Molexは基板側を合計2個だけ。</x:v>
      </x:c>
      <x:c r="C3" s="6" t="str">
        <x:v>手持ち：SD、IMU、GNSS、SMA、ピンヘッダ、4.7kΩ・10kΩ抵抗。Molexは基板側を合計2個だけ。</x:v>
      </x:c>
      <x:c r="D3" s="6" t="str">
        <x:v>手持ち：SD、IMU、GNSS、SMA、ピンヘッダ、4.7kΩ・10kΩ抵抗。Molexは基板側を合計2個だけ。</x:v>
      </x:c>
      <x:c r="E3" s="6" t="str">
        <x:v>手持ち：SD、IMU、GNSS、SMA、ピンヘッダ、4.7kΩ・10kΩ抵抗。Molexは基板側を合計2個だけ。</x:v>
      </x:c>
      <x:c r="F3" s="6" t="str">
        <x:v>手持ち：SD、IMU、GNSS、SMA、ピンヘッダ、4.7kΩ・10kΩ抵抗。Molexは基板側を合計2個だけ。</x:v>
      </x:c>
      <x:c r="G3" s="6" t="str">
        <x:v>手持ち：SD、IMU、GNSS、SMA、ピンヘッダ、4.7kΩ・10kΩ抵抗。Molexは基板側を合計2個だけ。</x:v>
      </x:c>
      <x:c r="H3" s="6" t="str">
        <x:v>手持ち：SD、IMU、GNSS、SMA、ピンヘッダ、4.7kΩ・10kΩ抵抗。Molexは基板側を合計2個だけ。</x:v>
      </x:c>
    </x:row>
    <x:row r="4" ht="26.25" customHeight="1">
      <x:c r="A4" s="6" t="str">
        <x:v>DigiKey直販の少量梱包を選択。在庫は取得ページの表示であり、確保済みではありません。注文時に在庫・単価を確認。</x:v>
      </x:c>
      <x:c r="B4" s="6" t="str">
        <x:v>DigiKey直販の少量梱包を選択。在庫は取得ページの表示であり、確保済みではありません。注文時に在庫・単価を確認。</x:v>
      </x:c>
      <x:c r="C4" s="6" t="str">
        <x:v>DigiKey直販の少量梱包を選択。在庫は取得ページの表示であり、確保済みではありません。注文時に在庫・単価を確認。</x:v>
      </x:c>
      <x:c r="D4" s="6" t="str">
        <x:v>DigiKey直販の少量梱包を選択。在庫は取得ページの表示であり、確保済みではありません。注文時に在庫・単価を確認。</x:v>
      </x:c>
      <x:c r="E4" s="6" t="str">
        <x:v>DigiKey直販の少量梱包を選択。在庫は取得ページの表示であり、確保済みではありません。注文時に在庫・単価を確認。</x:v>
      </x:c>
      <x:c r="F4" s="6" t="str">
        <x:v>DigiKey直販の少量梱包を選択。在庫は取得ページの表示であり、確保済みではありません。注文時に在庫・単価を確認。</x:v>
      </x:c>
      <x:c r="G4" s="6" t="str">
        <x:v>DigiKey直販の少量梱包を選択。在庫は取得ページの表示であり、確保済みではありません。注文時に在庫・単価を確認。</x:v>
      </x:c>
      <x:c r="H4" s="6" t="str">
        <x:v>DigiKey直販の少量梱包を選択。在庫は取得ページの表示であり、確保済みではありません。注文時に在庫・単価を確認。</x:v>
      </x:c>
    </x:row>
    <x:row r="5">
      <x:c r="A5" s="3"/>
      <x:c r="B5" s="3"/>
      <x:c r="C5" s="3"/>
      <x:c r="D5" s="3"/>
      <x:c r="E5" s="3"/>
      <x:c r="F5" s="3"/>
      <x:c r="G5" s="3"/>
      <x:c r="H5" s="3"/>
    </x:row>
    <x:row r="6" ht="24" customHeight="1">
      <x:c r="A6" s="8" t="str">
        <x:v>実装位置</x:v>
      </x:c>
      <x:c r="B6" s="8" t="str">
        <x:v>品目・定格</x:v>
      </x:c>
      <x:c r="C6" s="8" t="str">
        <x:v>サイズ</x:v>
      </x:c>
      <x:c r="D6" s="8" t="str">
        <x:v>メーカー品番</x:v>
      </x:c>
      <x:c r="E6" s="8" t="str">
        <x:v>DigiKey品番</x:v>
      </x:c>
      <x:c r="F6" s="8" t="str">
        <x:v>実装数</x:v>
      </x:c>
      <x:c r="G6" s="8" t="str">
        <x:v>予備数</x:v>
      </x:c>
      <x:c r="H6" s="8" t="str">
        <x:v>発注数</x:v>
      </x:c>
    </x:row>
    <x:row r="7" ht="45.75" customHeight="1">
      <x:c r="A7" s="13" t="str">
        <x:v>C1, C2, C8, C12, C13, C20, C28</x:v>
      </x:c>
      <x:c r="B7" s="13" t="str">
        <x:v>10µF ±10% X7R 10V</x:v>
      </x:c>
      <x:c r="C7" s="13" t="str">
        <x:v>0805 / 2012</x:v>
      </x:c>
      <x:c r="D7" s="14" t="str">
        <x:v>CL21B106KPQNFNE</x:v>
      </x:c>
      <x:c r="E7" s="14" t="str">
        <x:v>1276-2934-1-ND</x:v>
      </x:c>
      <x:c r="F7" s="15" t="n">
        <x:v>7</x:v>
      </x:c>
      <x:c r="G7" s="16" t="n">
        <x:v>3</x:v>
      </x:c>
      <x:c r="H7" s="15" t="n">
        <x:f>F7+G7</x:f>
        <x:v>10</x:v>
      </x:c>
    </x:row>
    <x:row r="8" ht="45.75" customHeight="1">
      <x:c r="A8" s="3" t="str">
        <x:v>C3, C4, C5, C6, C14, C17, C19, C21, C22, C23, C24, C25, C26, C27</x:v>
      </x:c>
      <x:c r="B8" s="3" t="str">
        <x:v>100nF ±10% X7R 100V</x:v>
      </x:c>
      <x:c r="C8" s="3" t="str">
        <x:v>0603 / 1608</x:v>
      </x:c>
      <x:c r="D8" s="9" t="str">
        <x:v>GRM188R72A104KA35D</x:v>
      </x:c>
      <x:c r="E8" s="9" t="str">
        <x:v>490-3285-1-ND</x:v>
      </x:c>
      <x:c r="F8" s="11" t="n">
        <x:v>14</x:v>
      </x:c>
      <x:c r="G8" s="12" t="n">
        <x:v>11</x:v>
      </x:c>
      <x:c r="H8" s="11" t="n">
        <x:f>F8+G8</x:f>
        <x:v>25</x:v>
      </x:c>
    </x:row>
    <x:row r="9" ht="45.75" customHeight="1">
      <x:c r="A9" s="13" t="str">
        <x:v>C7</x:v>
      </x:c>
      <x:c r="B9" s="13" t="str">
        <x:v>330µF 6.3V ポリマー</x:v>
      </x:c>
      <x:c r="C9" s="13" t="str">
        <x:v>φ6.3 × H5.9mm</x:v>
      </x:c>
      <x:c r="D9" s="14" t="str">
        <x:v>6SVPC330M</x:v>
      </x:c>
      <x:c r="E9" s="14" t="str">
        <x:v>P16611CT-ND</x:v>
      </x:c>
      <x:c r="F9" s="15" t="n">
        <x:v>1</x:v>
      </x:c>
      <x:c r="G9" s="16" t="n">
        <x:v>1</x:v>
      </x:c>
      <x:c r="H9" s="15" t="n">
        <x:f>F9+G9</x:f>
        <x:v>2</x:v>
      </x:c>
    </x:row>
    <x:row r="10" ht="45.75" customHeight="1">
      <x:c r="A10" s="3" t="str">
        <x:v>C9, C10</x:v>
      </x:c>
      <x:c r="B10" s="3" t="str">
        <x:v>15pF ±5% C0G 50V</x:v>
      </x:c>
      <x:c r="C10" s="3" t="str">
        <x:v>0603 / 1608</x:v>
      </x:c>
      <x:c r="D10" s="9" t="str">
        <x:v>CC0603JRNPO9BN150</x:v>
      </x:c>
      <x:c r="E10" s="9" t="str">
        <x:v>311-1060-1-ND</x:v>
      </x:c>
      <x:c r="F10" s="11" t="n">
        <x:v>2</x:v>
      </x:c>
      <x:c r="G10" s="12" t="n">
        <x:v>8</x:v>
      </x:c>
      <x:c r="H10" s="11" t="n">
        <x:f>F10+G10</x:f>
        <x:v>10</x:v>
      </x:c>
    </x:row>
    <x:row r="11" ht="45.75" customHeight="1">
      <x:c r="A11" s="13" t="str">
        <x:v>C11</x:v>
      </x:c>
      <x:c r="B11" s="13" t="str">
        <x:v>10nF ±10% X7R 100V</x:v>
      </x:c>
      <x:c r="C11" s="13" t="str">
        <x:v>0603 / 1608</x:v>
      </x:c>
      <x:c r="D11" s="14" t="str">
        <x:v>GRM188R72A103KA01D</x:v>
      </x:c>
      <x:c r="E11" s="14" t="str">
        <x:v>490-GRM188R72A103KA01DCT-ND</x:v>
      </x:c>
      <x:c r="F11" s="15" t="n">
        <x:v>1</x:v>
      </x:c>
      <x:c r="G11" s="16" t="n">
        <x:v>9</x:v>
      </x:c>
      <x:c r="H11" s="15" t="n">
        <x:f>F11+G11</x:f>
        <x:v>10</x:v>
      </x:c>
    </x:row>
    <x:row r="12" ht="45.75" customHeight="1">
      <x:c r="A12" s="3" t="str">
        <x:v>C15</x:v>
      </x:c>
      <x:c r="B12" s="3" t="str">
        <x:v>1µF ±10% X7R 50V</x:v>
      </x:c>
      <x:c r="C12" s="3" t="str">
        <x:v>0805 / 2012</x:v>
      </x:c>
      <x:c r="D12" s="9" t="str">
        <x:v>C2012X7R1H105K085AC</x:v>
      </x:c>
      <x:c r="E12" s="9" t="str">
        <x:v>445-14539-1-ND</x:v>
      </x:c>
      <x:c r="F12" s="11" t="n">
        <x:v>1</x:v>
      </x:c>
      <x:c r="G12" s="12" t="n">
        <x:v>2</x:v>
      </x:c>
      <x:c r="H12" s="11" t="n">
        <x:f>F12+G12</x:f>
        <x:v>3</x:v>
      </x:c>
    </x:row>
    <x:row r="13" ht="45.75" customHeight="1">
      <x:c r="A13" s="13" t="str">
        <x:v>D1, D4</x:v>
      </x:c>
      <x:c r="B13" s="13" t="str">
        <x:v>CAN用 双方向2線 TVS 24V</x:v>
      </x:c>
      <x:c r="C13" s="13" t="str">
        <x:v>SOT-23-3</x:v>
      </x:c>
      <x:c r="D13" s="14" t="str">
        <x:v>ESDCAN24-2BLY</x:v>
      </x:c>
      <x:c r="E13" s="14" t="str">
        <x:v>497-13262-1-ND</x:v>
      </x:c>
      <x:c r="F13" s="15" t="n">
        <x:v>2</x:v>
      </x:c>
      <x:c r="G13" s="16" t="n">
        <x:v>2</x:v>
      </x:c>
      <x:c r="H13" s="15" t="n">
        <x:f>F13+G13</x:f>
        <x:v>4</x:v>
      </x:c>
    </x:row>
    <x:row r="14" ht="45.75" customHeight="1">
      <x:c r="A14" s="3" t="str">
        <x:v>D5, D6, D7, D8, D9, D10, D11, D12</x:v>
      </x:c>
      <x:c r="B14" s="3" t="str">
        <x:v>緑LED 571nm / Vf約2V</x:v>
      </x:c>
      <x:c r="C14" s="3" t="str">
        <x:v>0805 / 2012</x:v>
      </x:c>
      <x:c r="D14" s="9" t="str">
        <x:v>LTST-C170KGKT</x:v>
      </x:c>
      <x:c r="E14" s="9" t="str">
        <x:v>160-1414-1-ND</x:v>
      </x:c>
      <x:c r="F14" s="11" t="n">
        <x:v>8</x:v>
      </x:c>
      <x:c r="G14" s="12" t="n">
        <x:v>4</x:v>
      </x:c>
      <x:c r="H14" s="11" t="n">
        <x:f>F14+G14</x:f>
        <x:v>12</x:v>
      </x:c>
    </x:row>
    <x:row r="15" ht="45.75" customHeight="1">
      <x:c r="A15" s="13" t="str">
        <x:v>J6, J9</x:v>
      </x:c>
      <x:c r="B15" s="13" t="str">
        <x:v>Micro-Fit 3.0 基板側4極</x:v>
      </x:c>
      <x:c r="C15" s="13" t="str">
        <x:v>2×2 / 3.0mm 横向きTHT</x:v>
      </x:c>
      <x:c r="D15" s="14" t="str">
        <x:v>43045-0400</x:v>
      </x:c>
      <x:c r="E15" s="14" t="str">
        <x:v>WM1814-ND</x:v>
      </x:c>
      <x:c r="F15" s="15" t="n">
        <x:v>2</x:v>
      </x:c>
      <x:c r="G15" s="16" t="n">
        <x:v>0</x:v>
      </x:c>
      <x:c r="H15" s="15" t="n">
        <x:f>F15+G15</x:f>
        <x:v>2</x:v>
      </x:c>
    </x:row>
    <x:row r="16" ht="45.75" customHeight="1">
      <x:c r="A16" s="3" t="str">
        <x:v>J11</x:v>
      </x:c>
      <x:c r="B16" s="3" t="str">
        <x:v>nanoSIM ヒンジ式ソケット</x:v>
      </x:c>
      <x:c r="C16" s="3" t="str">
        <x:v>TE専用フットプリント</x:v>
      </x:c>
      <x:c r="D16" s="9" t="str">
        <x:v>2452796-1</x:v>
      </x:c>
      <x:c r="E16" s="9" t="str">
        <x:v>343-2452796-1CT-ND</x:v>
      </x:c>
      <x:c r="F16" s="11" t="n">
        <x:v>1</x:v>
      </x:c>
      <x:c r="G16" s="12" t="n">
        <x:v>1</x:v>
      </x:c>
      <x:c r="H16" s="11" t="n">
        <x:f>F16+G16</x:f>
        <x:v>2</x:v>
      </x:c>
    </x:row>
    <x:row r="17" ht="45.75" customHeight="1">
      <x:c r="A17" s="13" t="str">
        <x:v>L1</x:v>
      </x:c>
      <x:c r="B17" s="13" t="str">
        <x:v>2.2µH ±20% 電源インダクタ</x:v>
      </x:c>
      <x:c r="C17" s="13" t="str">
        <x:v>2.5×2.0×1.2mm</x:v>
      </x:c>
      <x:c r="D17" s="14" t="str">
        <x:v>DFE252012F-2R2M=P2</x:v>
      </x:c>
      <x:c r="E17" s="14" t="str">
        <x:v>490-13055-1-ND</x:v>
      </x:c>
      <x:c r="F17" s="15" t="n">
        <x:v>1</x:v>
      </x:c>
      <x:c r="G17" s="16" t="n">
        <x:v>2</x:v>
      </x:c>
      <x:c r="H17" s="15" t="n">
        <x:f>F17+G17</x:f>
        <x:v>3</x:v>
      </x:c>
    </x:row>
    <x:row r="18" ht="45.75" customHeight="1">
      <x:c r="A18" s="3" t="str">
        <x:v>L2</x:v>
      </x:c>
      <x:c r="B18" s="3" t="str">
        <x:v>27nH RF巻線インダクタ</x:v>
      </x:c>
      <x:c r="C18" s="3" t="str">
        <x:v>0603 / 1608</x:v>
      </x:c>
      <x:c r="D18" s="9" t="str">
        <x:v>LQW18AN27NJ00D</x:v>
      </x:c>
      <x:c r="E18" s="9" t="str">
        <x:v>490-1174-1-ND</x:v>
      </x:c>
      <x:c r="F18" s="11" t="n">
        <x:v>1</x:v>
      </x:c>
      <x:c r="G18" s="12" t="n">
        <x:v>2</x:v>
      </x:c>
      <x:c r="H18" s="11" t="n">
        <x:f>F18+G18</x:f>
        <x:v>3</x:v>
      </x:c>
    </x:row>
    <x:row r="19" ht="45.75" customHeight="1">
      <x:c r="A19" s="13" t="str">
        <x:v>Q1</x:v>
      </x:c>
      <x:c r="B19" s="13" t="str">
        <x:v>Nch MOSFET 60V</x:v>
      </x:c>
      <x:c r="C19" s="13" t="str">
        <x:v>SOT-23</x:v>
      </x:c>
      <x:c r="D19" s="14" t="str">
        <x:v>2N7002ET1G</x:v>
      </x:c>
      <x:c r="E19" s="14" t="str">
        <x:v>2N7002ET1GOSCT-ND</x:v>
      </x:c>
      <x:c r="F19" s="15" t="n">
        <x:v>1</x:v>
      </x:c>
      <x:c r="G19" s="16" t="n">
        <x:v>2</x:v>
      </x:c>
      <x:c r="H19" s="15" t="n">
        <x:f>F19+G19</x:f>
        <x:v>3</x:v>
      </x:c>
    </x:row>
    <x:row r="20" ht="45.75" customHeight="1">
      <x:c r="A20" s="3" t="str">
        <x:v>R1, R5, R11</x:v>
      </x:c>
      <x:c r="B20" s="3" t="str">
        <x:v>100kΩ ±0.1% 0.1W</x:v>
      </x:c>
      <x:c r="C20" s="3" t="str">
        <x:v>0603 / 1608</x:v>
      </x:c>
      <x:c r="D20" s="9" t="str">
        <x:v>CRT0603-BY-1003ELF</x:v>
      </x:c>
      <x:c r="E20" s="9" t="str">
        <x:v>CRT0603-BY-1003ELFCT-ND</x:v>
      </x:c>
      <x:c r="F20" s="11" t="n">
        <x:v>3</x:v>
      </x:c>
      <x:c r="G20" s="12" t="n">
        <x:v>7</x:v>
      </x:c>
      <x:c r="H20" s="11" t="n">
        <x:f>F20+G20</x:f>
        <x:v>10</x:v>
      </x:c>
    </x:row>
    <x:row r="21" ht="45.75" customHeight="1">
      <x:c r="A21" s="13" t="str">
        <x:v>R4, R23, R24, R25, R26, R27, R28, R29, R30</x:v>
      </x:c>
      <x:c r="B21" s="13" t="str">
        <x:v>1kΩ ±1% 0.1W</x:v>
      </x:c>
      <x:c r="C21" s="13" t="str">
        <x:v>0603 / 1608</x:v>
      </x:c>
      <x:c r="D21" s="14" t="str">
        <x:v>RC0603FR-071KL</x:v>
      </x:c>
      <x:c r="E21" s="14" t="str">
        <x:v>311-1.00KHRCT-ND</x:v>
      </x:c>
      <x:c r="F21" s="15" t="n">
        <x:v>9</x:v>
      </x:c>
      <x:c r="G21" s="16" t="n">
        <x:v>6</x:v>
      </x:c>
      <x:c r="H21" s="15" t="n">
        <x:f>F21+G21</x:f>
        <x:v>15</x:v>
      </x:c>
    </x:row>
    <x:row r="22" ht="45.75" customHeight="1">
      <x:c r="A22" s="3" t="str">
        <x:v>R6, R8, R22, R31, R32</x:v>
      </x:c>
      <x:c r="B22" s="3" t="str">
        <x:v>47kΩ ±1% 0.1W</x:v>
      </x:c>
      <x:c r="C22" s="3" t="str">
        <x:v>0603 / 1608</x:v>
      </x:c>
      <x:c r="D22" s="9" t="str">
        <x:v>RC0603FR-0747KL</x:v>
      </x:c>
      <x:c r="E22" s="9" t="str">
        <x:v>311-47.0KHRCT-ND</x:v>
      </x:c>
      <x:c r="F22" s="11" t="n">
        <x:v>5</x:v>
      </x:c>
      <x:c r="G22" s="12" t="n">
        <x:v>5</x:v>
      </x:c>
      <x:c r="H22" s="11" t="n">
        <x:f>F22+G22</x:f>
        <x:v>10</x:v>
      </x:c>
    </x:row>
    <x:row r="23" ht="45.75" customHeight="1">
      <x:c r="A23" s="13" t="str">
        <x:v>R10</x:v>
      </x:c>
      <x:c r="B23" s="13" t="str">
        <x:v>374kΩ ±1% 0.1W</x:v>
      </x:c>
      <x:c r="C23" s="13" t="str">
        <x:v>0603 / 1608</x:v>
      </x:c>
      <x:c r="D23" s="14" t="str">
        <x:v>RC0603FR-07374KL</x:v>
      </x:c>
      <x:c r="E23" s="14" t="str">
        <x:v>311-374KHRCT-ND</x:v>
      </x:c>
      <x:c r="F23" s="15" t="n">
        <x:v>1</x:v>
      </x:c>
      <x:c r="G23" s="16" t="n">
        <x:v>9</x:v>
      </x:c>
      <x:c r="H23" s="15" t="n">
        <x:f>F23+G23</x:f>
        <x:v>10</x:v>
      </x:c>
    </x:row>
    <x:row r="24" ht="45.75" customHeight="1">
      <x:c r="A24" s="3" t="str">
        <x:v>R14, R16</x:v>
      </x:c>
      <x:c r="B24" s="3" t="str">
        <x:v>120Ω ±1% 0.1W</x:v>
      </x:c>
      <x:c r="C24" s="3" t="str">
        <x:v>0603 / 1608</x:v>
      </x:c>
      <x:c r="D24" s="9" t="str">
        <x:v>RC0603FR-07120RL</x:v>
      </x:c>
      <x:c r="E24" s="9" t="str">
        <x:v>311-120HRCT-ND</x:v>
      </x:c>
      <x:c r="F24" s="11" t="n">
        <x:v>2</x:v>
      </x:c>
      <x:c r="G24" s="12" t="n">
        <x:v>8</x:v>
      </x:c>
      <x:c r="H24" s="11" t="n">
        <x:f>F24+G24</x:f>
        <x:v>10</x:v>
      </x:c>
    </x:row>
    <x:row r="25" ht="45.75" customHeight="1">
      <x:c r="A25" s="13" t="str">
        <x:v>R17, R18, R19</x:v>
      </x:c>
      <x:c r="B25" s="13" t="str">
        <x:v>22Ω ±1% 0.1W</x:v>
      </x:c>
      <x:c r="C25" s="13" t="str">
        <x:v>0603 / 1608</x:v>
      </x:c>
      <x:c r="D25" s="14" t="str">
        <x:v>CRCW060322R0FKEA</x:v>
      </x:c>
      <x:c r="E25" s="14" t="str">
        <x:v>541-22.0HCT-ND</x:v>
      </x:c>
      <x:c r="F25" s="15" t="n">
        <x:v>3</x:v>
      </x:c>
      <x:c r="G25" s="16" t="n">
        <x:v>7</x:v>
      </x:c>
      <x:c r="H25" s="15" t="n">
        <x:f>F25+G25</x:f>
        <x:v>10</x:v>
      </x:c>
    </x:row>
    <x:row r="26" ht="45.75" customHeight="1">
      <x:c r="A26" s="3" t="str">
        <x:v>R20, R21</x:v>
      </x:c>
      <x:c r="B26" s="3" t="str">
        <x:v>0Ω ジャンパ 0.1W</x:v>
      </x:c>
      <x:c r="C26" s="3" t="str">
        <x:v>0603 / 1608</x:v>
      </x:c>
      <x:c r="D26" s="9" t="str">
        <x:v>RC0603JR-070RL</x:v>
      </x:c>
      <x:c r="E26" s="9" t="str">
        <x:v>311-0.0GRCT-ND</x:v>
      </x:c>
      <x:c r="F26" s="11" t="n">
        <x:v>2</x:v>
      </x:c>
      <x:c r="G26" s="12" t="n">
        <x:v>8</x:v>
      </x:c>
      <x:c r="H26" s="11" t="n">
        <x:f>F26+G26</x:f>
        <x:v>10</x:v>
      </x:c>
    </x:row>
    <x:row r="27" ht="45.75" customHeight="1">
      <x:c r="A27" s="13" t="str">
        <x:v>R15</x:v>
      </x:c>
      <x:c r="B27" s="13" t="str">
        <x:v>27Ω ±5% 1W</x:v>
      </x:c>
      <x:c r="C27" s="13" t="str">
        <x:v>2512 / 6332</x:v>
      </x:c>
      <x:c r="D27" s="14" t="str">
        <x:v>RMCF2512JT27R0</x:v>
      </x:c>
      <x:c r="E27" s="14" t="str">
        <x:v>RMCF2512JT27R0CT-ND</x:v>
      </x:c>
      <x:c r="F27" s="15" t="n">
        <x:v>1</x:v>
      </x:c>
      <x:c r="G27" s="16" t="n">
        <x:v>2</x:v>
      </x:c>
      <x:c r="H27" s="15" t="n">
        <x:f>F27+G27</x:f>
        <x:v>3</x:v>
      </x:c>
    </x:row>
    <x:row r="28" ht="45.75" customHeight="1">
      <x:c r="A28" s="3" t="str">
        <x:v>U2</x:v>
      </x:c>
      <x:c r="B28" s="3" t="str">
        <x:v>3A 降圧DC/DC</x:v>
      </x:c>
      <x:c r="C28" s="3" t="str">
        <x:v>TSOT26</x:v>
      </x:c>
      <x:c r="D28" s="9" t="str">
        <x:v>AP63301WU-7</x:v>
      </x:c>
      <x:c r="E28" s="9" t="str">
        <x:v>31-AP63301WU-7CT-ND</x:v>
      </x:c>
      <x:c r="F28" s="11" t="n">
        <x:v>1</x:v>
      </x:c>
      <x:c r="G28" s="12" t="n">
        <x:v>1</x:v>
      </x:c>
      <x:c r="H28" s="11" t="n">
        <x:f>F28+G28</x:f>
        <x:v>2</x:v>
      </x:c>
    </x:row>
    <x:row r="29" ht="45.75" customHeight="1">
      <x:c r="A29" s="13" t="str">
        <x:v>U3</x:v>
      </x:c>
      <x:c r="B29" s="13" t="str">
        <x:v>4bit レベル変換</x:v>
      </x:c>
      <x:c r="C29" s="13" t="str">
        <x:v>TSSOP-14 / P0.65</x:v>
      </x:c>
      <x:c r="D29" s="14" t="str">
        <x:v>TXU0204PWR</x:v>
      </x:c>
      <x:c r="E29" s="14" t="str">
        <x:v>296-TXU0204PWRCT-ND</x:v>
      </x:c>
      <x:c r="F29" s="15" t="n">
        <x:v>1</x:v>
      </x:c>
      <x:c r="G29" s="16" t="n">
        <x:v>1</x:v>
      </x:c>
      <x:c r="H29" s="15" t="n">
        <x:f>F29+G29</x:f>
        <x:v>2</x:v>
      </x:c>
    </x:row>
    <x:row r="30" ht="45.75" customHeight="1">
      <x:c r="A30" s="3" t="str">
        <x:v>U4</x:v>
      </x:c>
      <x:c r="B30" s="3" t="str">
        <x:v>CANコントローラ＋トランシーバ</x:v>
      </x:c>
      <x:c r="C30" s="3" t="str">
        <x:v>SSOP-28 / 幅5.3mm</x:v>
      </x:c>
      <x:c r="D30" s="9" t="str">
        <x:v>MCP25625T-E/SS</x:v>
      </x:c>
      <x:c r="E30" s="9" t="str">
        <x:v>MCP25625T-E/SSCT-ND</x:v>
      </x:c>
      <x:c r="F30" s="11" t="n">
        <x:v>1</x:v>
      </x:c>
      <x:c r="G30" s="12" t="n">
        <x:v>0</x:v>
      </x:c>
      <x:c r="H30" s="11" t="n">
        <x:f>F30+G30</x:f>
        <x:v>1</x:v>
      </x:c>
    </x:row>
    <x:row r="31" ht="45.75" customHeight="1">
      <x:c r="A31" s="13" t="str">
        <x:v>U6</x:v>
      </x:c>
      <x:c r="B31" s="13" t="str">
        <x:v>LTE Cat-M/NB-IoTモジュール</x:v>
      </x:c>
      <x:c r="C31" s="13" t="str">
        <x:v>LCC-68 / 24×24mm</x:v>
      </x:c>
      <x:c r="D31" s="14" t="str">
        <x:v>SIM7070G</x:v>
      </x:c>
      <x:c r="E31" s="14" t="str">
        <x:v>3781-SIM7070G-ND</x:v>
      </x:c>
      <x:c r="F31" s="15" t="n">
        <x:v>1</x:v>
      </x:c>
      <x:c r="G31" s="16" t="n">
        <x:v>0</x:v>
      </x:c>
      <x:c r="H31" s="15" t="n">
        <x:f>F31+G31</x:f>
        <x:v>1</x:v>
      </x:c>
    </x:row>
    <x:row r="32" ht="45.75" customHeight="1">
      <x:c r="A32" s="3" t="str">
        <x:v>U7</x:v>
      </x:c>
      <x:c r="B32" s="3" t="str">
        <x:v>CANトランシーバ</x:v>
      </x:c>
      <x:c r="C32" s="3" t="str">
        <x:v>SOIC-8 / 幅3.9mm</x:v>
      </x:c>
      <x:c r="D32" s="9" t="str">
        <x:v>ATA6561-GAQW-N</x:v>
      </x:c>
      <x:c r="E32" s="9" t="str">
        <x:v>ATA6561-GAQW-NCT-ND</x:v>
      </x:c>
      <x:c r="F32" s="11" t="n">
        <x:v>1</x:v>
      </x:c>
      <x:c r="G32" s="12" t="n">
        <x:v>1</x:v>
      </x:c>
      <x:c r="H32" s="11" t="n">
        <x:f>F32+G32</x:f>
        <x:v>2</x:v>
      </x:c>
    </x:row>
    <x:row r="33" ht="45.75" customHeight="1">
      <x:c r="A33" s="13" t="str">
        <x:v>U8</x:v>
      </x:c>
      <x:c r="B33" s="13" t="str">
        <x:v>8bit シフトレジスタ</x:v>
      </x:c>
      <x:c r="C33" s="13" t="str">
        <x:v>SOP-16 / 幅5.3mm</x:v>
      </x:c>
      <x:c r="D33" s="14" t="str">
        <x:v>TC74HC595AF(EL,F)</x:v>
      </x:c>
      <x:c r="E33" s="14" t="str">
        <x:v>264-TC74HC595AF(EL,F)CT-ND</x:v>
      </x:c>
      <x:c r="F33" s="15" t="n">
        <x:v>1</x:v>
      </x:c>
      <x:c r="G33" s="16" t="n">
        <x:v>1</x:v>
      </x:c>
      <x:c r="H33" s="15" t="n">
        <x:f>F33+G33</x:f>
        <x:v>2</x:v>
      </x:c>
    </x:row>
    <x:row r="34" ht="45.75" customHeight="1">
      <x:c r="A34" s="3" t="str">
        <x:v>U9, U10</x:v>
      </x:c>
      <x:c r="B34" s="3" t="str">
        <x:v>4線ESD保護</x:v>
      </x:c>
      <x:c r="C34" s="3" t="str">
        <x:v>SOT-23-6</x:v>
      </x:c>
      <x:c r="D34" s="9" t="str">
        <x:v>USBLC6-4SC6Y</x:v>
      </x:c>
      <x:c r="E34" s="9" t="str">
        <x:v>497-11883-1-ND</x:v>
      </x:c>
      <x:c r="F34" s="11" t="n">
        <x:v>2</x:v>
      </x:c>
      <x:c r="G34" s="12" t="n">
        <x:v>2</x:v>
      </x:c>
      <x:c r="H34" s="11" t="n">
        <x:f>F34+G34</x:f>
        <x:v>4</x:v>
      </x:c>
    </x:row>
    <x:row r="35" ht="45.75" customHeight="1">
      <x:c r="A35" s="13" t="str">
        <x:v>Y1</x:v>
      </x:c>
      <x:c r="B35" s="13" t="str">
        <x:v>水晶 20MHz / CL10pF</x:v>
      </x:c>
      <x:c r="C35" s="13" t="str">
        <x:v>3225 / 4端子</x:v>
      </x:c>
      <x:c r="D35" s="14" t="str">
        <x:v>ABM8-20.000MHZ-10-B1U-T</x:v>
      </x:c>
      <x:c r="E35" s="14" t="str">
        <x:v>535-14973-1-ND</x:v>
      </x:c>
      <x:c r="F35" s="15" t="n">
        <x:v>1</x:v>
      </x:c>
      <x:c r="G35" s="16" t="n">
        <x:v>1</x:v>
      </x:c>
      <x:c r="H35" s="15" t="n">
        <x:f>F35+G35</x:f>
        <x:v>2</x:v>
      </x:c>
    </x:row>
    <x:row r="36" ht="45.75" customHeight="1">
      <x:c r="A36" s="3" t="str">
        <x:v>D2</x:v>
      </x:c>
      <x:c r="B36" s="3" t="str">
        <x:v>RF用 双方向TVS 5.3V / 0.35pF</x:v>
      </x:c>
      <x:c r="C36" s="3" t="str">
        <x:v>SOD882 / 1.0×0.6mm</x:v>
      </x:c>
      <x:c r="D36" s="9" t="str">
        <x:v>AQ3045-01ETG</x:v>
      </x:c>
      <x:c r="E36" s="9" t="str">
        <x:v>F9321CT-ND</x:v>
      </x:c>
      <x:c r="F36" s="11" t="n">
        <x:v>1</x:v>
      </x:c>
      <x:c r="G36" s="12" t="n">
        <x:v>2</x:v>
      </x:c>
      <x:c r="H36" s="11" t="n">
        <x:f>F36+G36</x:f>
        <x:v>3</x:v>
      </x:c>
    </x:row>
    <x:row r="37" ht="45.75" customHeight="1">
      <x:c r="A37" s="13" t="str">
        <x:v>D3</x:v>
      </x:c>
      <x:c r="B37" s="13" t="str">
        <x:v>LTE電源 双方向TVS 4.5V</x:v>
      </x:c>
      <x:c r="C37" s="13" t="str">
        <x:v>CSP1006-2 / 1.0×0.6mm</x:v>
      </x:c>
      <x:c r="D37" s="14" t="str">
        <x:v>CSPSBHC4V5LB-TP</x:v>
      </x:c>
      <x:c r="E37" s="14" t="str">
        <x:v>353-CSPSBHC4V5LB-TPCT-ND</x:v>
      </x:c>
      <x:c r="F37" s="15" t="n">
        <x:v>1</x:v>
      </x:c>
      <x:c r="G37" s="16" t="n">
        <x:v>2</x:v>
      </x:c>
      <x:c r="H37" s="15" t="n">
        <x:f>F37+G37</x:f>
        <x:v>3</x:v>
      </x:c>
    </x:row>
    <x:row r="38">
      <x:c r="A38" s="18" t="str">
        <x:v>合計（保留品を除く）</x:v>
      </x:c>
      <x:c r="B38" s="18"/>
      <x:c r="C38" s="18"/>
      <x:c r="D38" s="18"/>
      <x:c r="E38" s="18"/>
      <x:c r="F38" s="18" t="n">
        <x:f>SUM(F7:F37)</x:f>
        <x:v>79</x:v>
      </x:c>
      <x:c r="G38" s="18" t="n">
        <x:f>SUM(G7:G37)</x:f>
        <x:v>110</x:v>
      </x:c>
      <x:c r="H38" s="18" t="n">
        <x:f>SUM(H7:H37)</x:f>
        <x:v>189</x:v>
      </x:c>
    </x:row>
    <x:row r="39">
      <x:c r="A39" s="3"/>
      <x:c r="B39" s="3"/>
      <x:c r="C39" s="3"/>
      <x:c r="D39" s="3"/>
      <x:c r="E39" s="3"/>
      <x:c r="F39" s="3"/>
      <x:c r="G39" s="3"/>
      <x:c r="H39" s="3"/>
    </x:row>
    <x:row r="40" ht="26.25" customHeight="1">
      <x:c r="A40" s="6" t="str">
        <x:v>予備数は変更可能です。CSVは作成時点の固定値なので、Excelで数量を変えた場合はCSV側も変更してください。</x:v>
      </x:c>
      <x:c r="B40" s="6" t="str">
        <x:v>予備数は変更可能です。CSVは作成時点の固定値なので、Excelで数量を変えた場合はCSV側も変更してください。</x:v>
      </x:c>
      <x:c r="C40" s="6" t="str">
        <x:v>予備数は変更可能です。CSVは作成時点の固定値なので、Excelで数量を変えた場合はCSV側も変更してください。</x:v>
      </x:c>
      <x:c r="D40" s="6" t="str">
        <x:v>予備数は変更可能です。CSVは作成時点の固定値なので、Excelで数量を変えた場合はCSV側も変更してください。</x:v>
      </x:c>
      <x:c r="E40" s="6" t="str">
        <x:v>予備数は変更可能です。CSVは作成時点の固定値なので、Excelで数量を変えた場合はCSV側も変更してください。</x:v>
      </x:c>
      <x:c r="F40" s="6" t="str">
        <x:v>予備数は変更可能です。CSVは作成時点の固定値なので、Excelで数量を変えた場合はCSV側も変更してください。</x:v>
      </x:c>
      <x:c r="G40" s="6" t="str">
        <x:v>予備数は変更可能です。CSVは作成時点の固定値なので、Excelで数量を変えた場合はCSV側も変更してください。</x:v>
      </x:c>
      <x:c r="H40" s="6" t="str">
        <x:v>予備数は変更可能です。CSVは作成時点の固定値なので、Excelで数量を変えた場合はCSV側も変更してください。</x:v>
      </x:c>
    </x:row>
    <x:row r="41">
      <x:c r="A41" s="3"/>
      <x:c r="B41" s="3"/>
      <x:c r="C41" s="3"/>
      <x:c r="D41" s="3"/>
      <x:c r="E41" s="3"/>
      <x:c r="F41" s="3"/>
      <x:c r="G41" s="3"/>
      <x:c r="H41" s="3"/>
    </x:row>
  </x:sheetData>
  <x:mergeCells>
    <x:mergeCell ref="A1:H1"/>
    <x:mergeCell ref="A2:H2"/>
    <x:mergeCell ref="A3:H3"/>
    <x:mergeCell ref="A4:H4"/>
    <x:mergeCell ref="A38:E38"/>
    <x:mergeCell ref="A40:H40"/>
  </x:mergeCells>
  <x:pageMargins left="0.7" right="0.7" top="0.75" bottom="0.75" header="0.3" footer="0.3"/>
  <x:tableParts count="1">
    <x:tablePart xmlns:r="http://schemas.openxmlformats.org/officeDocument/2006/relationships" r:id="R802043af00ba42d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.5" hidden="0" customWidth="1"/>
    <x:col min="2" max="2" width="28.75" hidden="0" customWidth="1"/>
    <x:col min="3" max="3" width="7.5" hidden="0" customWidth="1"/>
    <x:col min="4" max="4" width="35" hidden="0" customWidth="1"/>
    <x:col min="5" max="5" width="65" hidden="0" customWidth="1"/>
  </x:cols>
  <x:sheetData>
    <x:row r="1" ht="31.5" customHeight="1">
      <x:c r="A1" s="5" t="str">
        <x:v>保護ダイオードの代替と購入対象外</x:v>
      </x:c>
      <x:c r="B1" s="5" t="str">
        <x:v>保護ダイオードの代替と購入対象外</x:v>
      </x:c>
      <x:c r="C1" s="5" t="str">
        <x:v>保護ダイオードの代替と購入対象外</x:v>
      </x:c>
      <x:c r="D1" s="5" t="str">
        <x:v>保護ダイオードの代替と購入対象外</x:v>
      </x:c>
      <x:c r="E1" s="5" t="str">
        <x:v>保護ダイオードの代替と購入対象外</x:v>
      </x:c>
    </x:row>
    <x:row r="2" ht="26.25" customHeight="1">
      <x:c r="A2" s="6" t="str">
        <x:v>98部品 ＝ DigiKey79個 ＋ 手持ち16個 ＋ 未実装3個。全リファレンスを重複なく照合。別調達・発注保留はありません。</x:v>
      </x:c>
      <x:c r="B2" s="6" t="str">
        <x:v>98部品 ＝ DigiKey79個 ＋ 手持ち16個 ＋ 未実装3個。全リファレンスを重複なく照合。別調達・発注保留はありません。</x:v>
      </x:c>
      <x:c r="C2" s="6" t="str">
        <x:v>98部品 ＝ DigiKey79個 ＋ 手持ち16個 ＋ 未実装3個。全リファレンスを重複なく照合。別調達・発注保留はありません。</x:v>
      </x:c>
      <x:c r="D2" s="6" t="str">
        <x:v>98部品 ＝ DigiKey79個 ＋ 手持ち16個 ＋ 未実装3個。全リファレンスを重複なく照合。別調達・発注保留はありません。</x:v>
      </x:c>
      <x:c r="E2" s="6" t="str">
        <x:v>98部品 ＝ DigiKey79個 ＋ 手持ち16個 ＋ 未実装3個。全リファレンスを重複なく照合。別調達・発注保留はありません。</x:v>
      </x:c>
    </x:row>
    <x:row r="3" ht="26.25" customHeight="1">
      <x:c r="A3" s="19" t="str">
        <x:v>D2・D3は機能代替として採用。全定格が同一の品ではありません。下記の差分を明記し、発注BOMに各3個を含めています。</x:v>
      </x:c>
      <x:c r="B3" s="19" t="str">
        <x:v>D2・D3は機能代替として採用。全定格が同一の品ではありません。下記の差分を明記し、発注BOMに各3個を含めています。</x:v>
      </x:c>
      <x:c r="C3" s="19" t="str">
        <x:v>D2・D3は機能代替として採用。全定格が同一の品ではありません。下記の差分を明記し、発注BOMに各3個を含めています。</x:v>
      </x:c>
      <x:c r="D3" s="19" t="str">
        <x:v>D2・D3は機能代替として採用。全定格が同一の品ではありません。下記の差分を明記し、発注BOMに各3個を含めています。</x:v>
      </x:c>
      <x:c r="E3" s="19" t="str">
        <x:v>D2・D3は機能代替として採用。全定格が同一の品ではありません。下記の差分を明記し、発注BOMに各3個を含めています。</x:v>
      </x:c>
    </x:row>
    <x:row r="4">
      <x:c r="A4" s="3"/>
      <x:c r="B4" s="3"/>
      <x:c r="C4" s="3"/>
      <x:c r="D4" s="3"/>
      <x:c r="E4" s="3"/>
    </x:row>
    <x:row r="5">
      <x:c r="A5" s="3"/>
      <x:c r="B5" s="3"/>
      <x:c r="C5" s="3"/>
      <x:c r="D5" s="3"/>
      <x:c r="E5" s="3"/>
    </x:row>
    <x:row r="6" ht="24" customHeight="1">
      <x:c r="A6" s="8" t="str">
        <x:v>位置</x:v>
      </x:c>
      <x:c r="B6" s="8" t="str">
        <x:v>必要部品</x:v>
      </x:c>
      <x:c r="C6" s="8" t="str">
        <x:v>実装数</x:v>
      </x:c>
      <x:c r="D6" s="8" t="str">
        <x:v>購入先・品番</x:v>
      </x:c>
      <x:c r="E6" s="8" t="str">
        <x:v>適合根拠・仕様差分</x:v>
      </x:c>
    </x:row>
    <x:row r="7" ht="131.25" customHeight="1">
      <x:c r="A7" s="19" t="str">
        <x:v>D2</x:v>
      </x:c>
      <x:c r="B7" s="19" t="str">
        <x:v>RF用 双方向TVS 5.3V / 0.35pF</x:v>
      </x:c>
      <x:c r="C7" s="19" t="n">
        <x:v>1</x:v>
      </x:c>
      <x:c r="D7" s="19" t="str">
        <x:v>DigiKey / AQ3045-01ETG
F9321CT-ND</x:v>
      </x:c>
      <x:c r="E7" s="19" t="str">
        <x:v>GNSSアンテナESD用の機能代替。SOD882・端子ピッチ0.65mm、現PCBの0.4×0.7mmパッドに端子が重なる。容量typ0.35/max0.5pF（元0.4/0.55）、双方向。VRWM5.3V（元5.5）、Vc最大12V@1A（元11V@1A）で全特性同一ではない。3A・ESD±30kV。DigiKey直販82,168個表示。RF/ESD実機試験未実施。</x:v>
      </x:c>
    </x:row>
    <x:row r="8" ht="131.25" customHeight="1">
      <x:c r="A8" s="19" t="str">
        <x:v>D3</x:v>
      </x:c>
      <x:c r="B8" s="19" t="str">
        <x:v>LTE電源 双方向TVS 4.5V</x:v>
      </x:c>
      <x:c r="C8" s="19" t="n">
        <x:v>1</x:v>
      </x:c>
      <x:c r="D8" s="19" t="str">
        <x:v>DigiKey / CSPSBHC4V5LB-TP
353-CSPSBHC4V5LB-TPCT-ND</x:v>
      </x:c>
      <x:c r="E8" s="19" t="str">
        <x:v>3.8V電源ESD用の機能代替。4.5V双方向、端子ピッチ0.65mm・長さ0.20～0.30/幅0.45～0.55mmで現PCBの0.4×0.6mmパッドに実装可能。Vc最大8.5V@50A/10.5V@100A（元12V@25A）、100A/900W。容量最大300pF、Tj上限125℃。元品のVhold最低4.6Vに対し本品は保証値記載なし、1Aクランプも保証値なし。全特性同一ではなく、実機サージ後復帰は未検証。DigiKey地域ページに10,002個表示。</x:v>
      </x:c>
    </x:row>
    <x:row r="9">
      <x:c r="A9" s="3"/>
      <x:c r="B9" s="3"/>
      <x:c r="C9" s="3"/>
      <x:c r="D9" s="3"/>
      <x:c r="E9" s="3"/>
    </x:row>
    <x:row r="10" ht="26.25" customHeight="1">
      <x:c r="A10" s="6" t="str">
        <x:v>購入不要 ／ 手持ち品は基板上の対応部品を示しています。実物の型番・サイズは未確認です。</x:v>
      </x:c>
      <x:c r="B10" s="6" t="str">
        <x:v>購入不要 ／ 手持ち品は基板上の対応部品を示しています。実物の型番・サイズは未確認です。</x:v>
      </x:c>
      <x:c r="C10" s="6" t="str">
        <x:v>購入不要 ／ 手持ち品は基板上の対応部品を示しています。実物の型番・サイズは未確認です。</x:v>
      </x:c>
      <x:c r="D10" s="6" t="str">
        <x:v>購入不要 ／ 手持ち品は基板上の対応部品を示しています。実物の型番・サイズは未確認です。</x:v>
      </x:c>
      <x:c r="E10" s="6" t="str">
        <x:v>購入不要 ／ 手持ち品は基板上の対応部品を示しています。実物の型番・サイズは未確認です。</x:v>
      </x:c>
    </x:row>
    <x:row r="11">
      <x:c r="A11" s="3"/>
      <x:c r="B11" s="3"/>
      <x:c r="C11" s="3"/>
      <x:c r="D11" s="3"/>
      <x:c r="E11" s="3"/>
    </x:row>
    <x:row r="12" ht="24" customHeight="1">
      <x:c r="A12" s="8" t="str">
        <x:v>位置</x:v>
      </x:c>
      <x:c r="B12" s="8" t="str">
        <x:v>値・部品</x:v>
      </x:c>
      <x:c r="C12" s="8" t="str">
        <x:v>数量</x:v>
      </x:c>
      <x:c r="D12" s="8" t="str">
        <x:v>扱い</x:v>
      </x:c>
      <x:c r="E12" s="8" t="str">
        <x:v>サイズ・注意</x:v>
      </x:c>
    </x:row>
    <x:row r="13" ht="32.25" customHeight="1">
      <x:c r="A13" s="13" t="str">
        <x:v>C16</x:v>
      </x:c>
      <x:c r="B13" s="13" t="str">
        <x:v>1p</x:v>
      </x:c>
      <x:c r="C13" s="13" t="n">
        <x:v>1</x:v>
      </x:c>
      <x:c r="D13" s="13" t="str">
        <x:v>未実装（DNP）</x:v>
      </x:c>
      <x:c r="E13" s="13" t="str">
        <x:v>logger_v2_custom:C_0603_1608Metric</x:v>
      </x:c>
    </x:row>
    <x:row r="14" ht="32.25" customHeight="1">
      <x:c r="A14" s="3" t="str">
        <x:v>C18</x:v>
      </x:c>
      <x:c r="B14" s="3" t="str">
        <x:v>1p</x:v>
      </x:c>
      <x:c r="C14" s="3" t="n">
        <x:v>1</x:v>
      </x:c>
      <x:c r="D14" s="3" t="str">
        <x:v>未実装（DNP）</x:v>
      </x:c>
      <x:c r="E14" s="3" t="str">
        <x:v>logger_v2_custom:C_0603_1608Metric</x:v>
      </x:c>
    </x:row>
    <x:row r="15" ht="32.25" customHeight="1">
      <x:c r="A15" s="13" t="str">
        <x:v>J1</x:v>
      </x:c>
      <x:c r="B15" s="13" t="str">
        <x:v>Power</x:v>
      </x:c>
      <x:c r="C15" s="13" t="n">
        <x:v>1</x:v>
      </x:c>
      <x:c r="D15" s="13" t="str">
        <x:v>手持ち品</x:v>
      </x:c>
      <x:c r="E15" s="13" t="str">
        <x:v>Connector_PinHeader_2.54mm:PinHeader_1x08_P2.54mm_Vertical</x:v>
      </x:c>
    </x:row>
    <x:row r="16" ht="32.25" customHeight="1">
      <x:c r="A16" s="3" t="str">
        <x:v>J2</x:v>
      </x:c>
      <x:c r="B16" s="3" t="str">
        <x:v>Analog</x:v>
      </x:c>
      <x:c r="C16" s="3" t="n">
        <x:v>1</x:v>
      </x:c>
      <x:c r="D16" s="3" t="str">
        <x:v>手持ち品</x:v>
      </x:c>
      <x:c r="E16" s="3" t="str">
        <x:v>Connector_PinHeader_2.54mm:PinHeader_1x06_P2.54mm_Vertical</x:v>
      </x:c>
    </x:row>
    <x:row r="17" ht="32.25" customHeight="1">
      <x:c r="A17" s="13" t="str">
        <x:v>J3</x:v>
      </x:c>
      <x:c r="B17" s="13" t="str">
        <x:v>Digital/PWM</x:v>
      </x:c>
      <x:c r="C17" s="13" t="n">
        <x:v>1</x:v>
      </x:c>
      <x:c r="D17" s="13" t="str">
        <x:v>手持ち品</x:v>
      </x:c>
      <x:c r="E17" s="13" t="str">
        <x:v>Connector_PinHeader_2.54mm:PinHeader_1x10_P2.54mm_Vertical</x:v>
      </x:c>
    </x:row>
    <x:row r="18" ht="32.25" customHeight="1">
      <x:c r="A18" s="3" t="str">
        <x:v>J4</x:v>
      </x:c>
      <x:c r="B18" s="3" t="str">
        <x:v>Digital/PWM</x:v>
      </x:c>
      <x:c r="C18" s="3" t="n">
        <x:v>1</x:v>
      </x:c>
      <x:c r="D18" s="3" t="str">
        <x:v>手持ち品</x:v>
      </x:c>
      <x:c r="E18" s="3" t="str">
        <x:v>Connector_PinHeader_2.54mm:PinHeader_1x08_P2.54mm_Vertical</x:v>
      </x:c>
    </x:row>
    <x:row r="19" ht="32.25" customHeight="1">
      <x:c r="A19" s="13" t="str">
        <x:v>J5</x:v>
      </x:c>
      <x:c r="B19" s="13" t="str">
        <x:v>Conn_01x02_Pin</x:v>
      </x:c>
      <x:c r="C19" s="13" t="n">
        <x:v>1</x:v>
      </x:c>
      <x:c r="D19" s="13" t="str">
        <x:v>手持ち品</x:v>
      </x:c>
      <x:c r="E19" s="13" t="str">
        <x:v>Connector_PinHeader_2.54mm:PinHeader_1x02_P2.54mm_Vertical</x:v>
      </x:c>
    </x:row>
    <x:row r="20" ht="32.25" customHeight="1">
      <x:c r="A20" s="3" t="str">
        <x:v>J7</x:v>
      </x:c>
      <x:c r="B20" s="3" t="str">
        <x:v>S-037-TGG</x:v>
      </x:c>
      <x:c r="C20" s="3" t="n">
        <x:v>1</x:v>
      </x:c>
      <x:c r="D20" s="3" t="str">
        <x:v>手持ち品</x:v>
      </x:c>
      <x:c r="E20" s="3" t="str">
        <x:v>logger_v2_custom:SMA_S-037-TGG_Horizontal</x:v>
      </x:c>
    </x:row>
    <x:row r="21" ht="32.25" customHeight="1">
      <x:c r="A21" s="13" t="str">
        <x:v>J8</x:v>
      </x:c>
      <x:c r="B21" s="13" t="str">
        <x:v>Conn_01x02_Pin</x:v>
      </x:c>
      <x:c r="C21" s="13" t="n">
        <x:v>1</x:v>
      </x:c>
      <x:c r="D21" s="13" t="str">
        <x:v>手持ち品</x:v>
      </x:c>
      <x:c r="E21" s="13" t="str">
        <x:v>Connector_PinHeader_2.54mm:PinHeader_1x02_P2.54mm_Vertical</x:v>
      </x:c>
    </x:row>
    <x:row r="22" ht="32.25" customHeight="1">
      <x:c r="A22" s="3" t="str">
        <x:v>J10</x:v>
      </x:c>
      <x:c r="B22" s="3" t="str">
        <x:v>S-037-TGG</x:v>
      </x:c>
      <x:c r="C22" s="3" t="n">
        <x:v>1</x:v>
      </x:c>
      <x:c r="D22" s="3" t="str">
        <x:v>手持ち品</x:v>
      </x:c>
      <x:c r="E22" s="3" t="str">
        <x:v>logger_v2_custom:SMA_S-037-TGG_Horizontal</x:v>
      </x:c>
    </x:row>
    <x:row r="23" ht="32.25" customHeight="1">
      <x:c r="A23" s="13" t="str">
        <x:v>J12</x:v>
      </x:c>
      <x:c r="B23" s="13" t="str">
        <x:v>47219-2001</x:v>
      </x:c>
      <x:c r="C23" s="13" t="n">
        <x:v>1</x:v>
      </x:c>
      <x:c r="D23" s="13" t="str">
        <x:v>手持ち品</x:v>
      </x:c>
      <x:c r="E23" s="13" t="str">
        <x:v>logger_v2_expansion:Molex_47219-2001</x:v>
      </x:c>
    </x:row>
    <x:row r="24" ht="32.25" customHeight="1">
      <x:c r="A24" s="3" t="str">
        <x:v>R2</x:v>
      </x:c>
      <x:c r="B24" s="3" t="str">
        <x:v>4.7k</x:v>
      </x:c>
      <x:c r="C24" s="3" t="n">
        <x:v>1</x:v>
      </x:c>
      <x:c r="D24" s="3" t="str">
        <x:v>手持ち品</x:v>
      </x:c>
      <x:c r="E24" s="3" t="str">
        <x:v>logger_v2_custom:R_0603_1608Metric
0603（1608）・0.1W以上。抵抗値だけでなく実物サイズを確認。</x:v>
      </x:c>
    </x:row>
    <x:row r="25" ht="32.25" customHeight="1">
      <x:c r="A25" s="13" t="str">
        <x:v>R3</x:v>
      </x:c>
      <x:c r="B25" s="13" t="str">
        <x:v>4.7k</x:v>
      </x:c>
      <x:c r="C25" s="13" t="n">
        <x:v>1</x:v>
      </x:c>
      <x:c r="D25" s="13" t="str">
        <x:v>手持ち品</x:v>
      </x:c>
      <x:c r="E25" s="13" t="str">
        <x:v>logger_v2_custom:R_0603_1608Metric
0603（1608）・0.1W以上。抵抗値だけでなく実物サイズを確認。</x:v>
      </x:c>
    </x:row>
    <x:row r="26" ht="32.25" customHeight="1">
      <x:c r="A26" s="3" t="str">
        <x:v>R7</x:v>
      </x:c>
      <x:c r="B26" s="3" t="str">
        <x:v>10k</x:v>
      </x:c>
      <x:c r="C26" s="3" t="n">
        <x:v>1</x:v>
      </x:c>
      <x:c r="D26" s="3" t="str">
        <x:v>手持ち品</x:v>
      </x:c>
      <x:c r="E26" s="3" t="str">
        <x:v>logger_v2_custom:R_0603_1608Metric
0603（1608）・0.1W以上。抵抗値だけでなく実物サイズを確認。</x:v>
      </x:c>
    </x:row>
    <x:row r="27" ht="32.25" customHeight="1">
      <x:c r="A27" s="13" t="str">
        <x:v>R9</x:v>
      </x:c>
      <x:c r="B27" s="13" t="str">
        <x:v>10k</x:v>
      </x:c>
      <x:c r="C27" s="13" t="n">
        <x:v>1</x:v>
      </x:c>
      <x:c r="D27" s="13" t="str">
        <x:v>手持ち品</x:v>
      </x:c>
      <x:c r="E27" s="13" t="str">
        <x:v>logger_v2_custom:R_0603_1608Metric
0603（1608）・0.1W以上。抵抗値だけでなく実物サイズを確認。</x:v>
      </x:c>
    </x:row>
    <x:row r="28" ht="32.25" customHeight="1">
      <x:c r="A28" s="3" t="str">
        <x:v>R12</x:v>
      </x:c>
      <x:c r="B28" s="3" t="str">
        <x:v>10k</x:v>
      </x:c>
      <x:c r="C28" s="3" t="n">
        <x:v>1</x:v>
      </x:c>
      <x:c r="D28" s="3" t="str">
        <x:v>手持ち品</x:v>
      </x:c>
      <x:c r="E28" s="3" t="str">
        <x:v>logger_v2_custom:R_0603_1608Metric
0603（1608）・0.1W以上。抵抗値だけでなく実物サイズを確認。</x:v>
      </x:c>
    </x:row>
    <x:row r="29" ht="32.25" customHeight="1">
      <x:c r="A29" s="13" t="str">
        <x:v>R13</x:v>
      </x:c>
      <x:c r="B29" s="13" t="str">
        <x:v>10k</x:v>
      </x:c>
      <x:c r="C29" s="13" t="n">
        <x:v>1</x:v>
      </x:c>
      <x:c r="D29" s="13" t="str">
        <x:v>未実装（DNP）</x:v>
      </x:c>
      <x:c r="E29" s="13" t="str">
        <x:v>logger_v2_custom:R_0603_1608Metric</x:v>
      </x:c>
    </x:row>
    <x:row r="30" ht="32.25" customHeight="1">
      <x:c r="A30" s="3" t="str">
        <x:v>U1</x:v>
      </x:c>
      <x:c r="B30" s="3" t="str">
        <x:v>BNO055_module</x:v>
      </x:c>
      <x:c r="C30" s="3" t="n">
        <x:v>1</x:v>
      </x:c>
      <x:c r="D30" s="3" t="str">
        <x:v>手持ち品</x:v>
      </x:c>
      <x:c r="E30" s="3" t="str">
        <x:v>logger_v2_custom:AE_BNO055_BO_ShieldSilk</x:v>
      </x:c>
    </x:row>
    <x:row r="31" ht="32.25" customHeight="1">
      <x:c r="A31" s="13" t="str">
        <x:v>U5</x:v>
      </x:c>
      <x:c r="B31" s="13" t="str">
        <x:v>MAX-M10M-00B</x:v>
      </x:c>
      <x:c r="C31" s="13" t="n">
        <x:v>1</x:v>
      </x:c>
      <x:c r="D31" s="13" t="str">
        <x:v>手持ち品</x:v>
      </x:c>
      <x:c r="E31" s="13" t="str">
        <x:v>logger_v2_custom:MAX_M10M_00B_LCC18</x:v>
      </x:c>
    </x:row>
    <x:row r="32">
      <x:c r="A32" s="3"/>
      <x:c r="B32" s="3"/>
      <x:c r="C32" s="3"/>
      <x:c r="D32" s="3"/>
      <x:c r="E32" s="3"/>
    </x:row>
    <x:row r="33">
      <x:c r="A33" s="3"/>
      <x:c r="B33" s="3"/>
      <x:c r="C33" s="3"/>
      <x:c r="D33" s="3"/>
      <x:c r="E33" s="3"/>
    </x:row>
    <x:row r="34">
      <x:c r="A34" s="3"/>
      <x:c r="B34" s="3"/>
      <x:c r="C34" s="3"/>
      <x:c r="D34" s="3"/>
      <x:c r="E34" s="3"/>
    </x:row>
    <x:row r="35">
      <x:c r="A35" s="3"/>
      <x:c r="B35" s="3"/>
      <x:c r="C35" s="3"/>
      <x:c r="D35" s="3"/>
      <x:c r="E35" s="3"/>
    </x:row>
  </x:sheetData>
  <x:mergeCells>
    <x:mergeCell ref="A1:E1"/>
    <x:mergeCell ref="A2:E2"/>
    <x:mergeCell ref="A3:E3"/>
    <x:mergeCell ref="A10:E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.6299991607666" hidden="0" customWidth="1"/>
    <x:col min="2" max="2" width="31.8799991607666" hidden="0" customWidth="1"/>
    <x:col min="3" max="3" width="45" hidden="0" customWidth="1"/>
    <x:col min="4" max="4" width="68.75" hidden="0" customWidth="1"/>
    <x:col min="5" max="5" width="51.25" hidden="0" customWidth="1"/>
  </x:cols>
  <x:sheetData>
    <x:row r="1" ht="31.5" customHeight="1">
      <x:c r="A1" s="5" t="str">
        <x:v>選定根拠・購入リンク</x:v>
      </x:c>
      <x:c r="B1" s="5" t="str">
        <x:v>選定根拠・購入リンク</x:v>
      </x:c>
      <x:c r="C1" s="5" t="str">
        <x:v>選定根拠・購入リンク</x:v>
      </x:c>
      <x:c r="D1" s="5" t="str">
        <x:v>選定根拠・購入リンク</x:v>
      </x:c>
      <x:c r="E1" s="5" t="str">
        <x:v>選定根拠・購入リンク</x:v>
      </x:c>
    </x:row>
    <x:row r="2" ht="26.25" customHeight="1">
      <x:c r="A2" s="6" t="str">
        <x:v>基板に載るサイズとピン配置を優先。現行回路図とPCBの98部品について、値・フットプリントの一致を照合。</x:v>
      </x:c>
      <x:c r="B2" s="6" t="str">
        <x:v>基板に載るサイズとピン配置を優先。現行回路図とPCBの98部品について、値・フットプリントの一致を照合。</x:v>
      </x:c>
      <x:c r="C2" s="6" t="str">
        <x:v>基板に載るサイズとピン配置を優先。現行回路図とPCBの98部品について、値・フットプリントの一致を照合。</x:v>
      </x:c>
      <x:c r="D2" s="6" t="str">
        <x:v>基板に載るサイズとピン配置を優先。現行回路図とPCBの98部品について、値・フットプリントの一致を照合。</x:v>
      </x:c>
      <x:c r="E2" s="6" t="str">
        <x:v>基板に載るサイズとピン配置を優先。現行回路図とPCBの98部品について、値・フットプリントの一致を照合。</x:v>
      </x:c>
    </x:row>
    <x:row r="3" ht="26.25" customHeight="1">
      <x:c r="A3" s="6" t="str">
        <x:v>旧BOMは集計に使用せず、現行ValueとDNPを採用。抵抗やC20などで古いMPN/Specificationと不一致があるため、元品番も併記。</x:v>
      </x:c>
      <x:c r="B3" s="6" t="str">
        <x:v>旧BOMは集計に使用せず、現行ValueとDNPを採用。抵抗やC20などで古いMPN/Specificationと不一致があるため、元品番も併記。</x:v>
      </x:c>
      <x:c r="C3" s="6" t="str">
        <x:v>旧BOMは集計に使用せず、現行ValueとDNPを採用。抵抗やC20などで古いMPN/Specificationと不一致があるため、元品番も併記。</x:v>
      </x:c>
      <x:c r="D3" s="6" t="str">
        <x:v>旧BOMは集計に使用せず、現行ValueとDNPを採用。抵抗やC20などで古いMPN/Specificationと不一致があるため、元品番も併記。</x:v>
      </x:c>
      <x:c r="E3" s="6" t="str">
        <x:v>旧BOMは集計に使用せず、現行ValueとDNPを採用。抵抗やC20などで古いMPN/Specificationと不一致があるため、元品番も併記。</x:v>
      </x:c>
    </x:row>
    <x:row r="4" ht="26.25" customHeight="1">
      <x:c r="A4" s="6" t="str">
        <x:v>在庫表示にはキャッシュや地域ページ差があります。価格・納期の確約は含みません。実機動作・製造適合試験は未実施。</x:v>
      </x:c>
      <x:c r="B4" s="6" t="str">
        <x:v>在庫表示にはキャッシュや地域ページ差があります。価格・納期の確約は含みません。実機動作・製造適合試験は未実施。</x:v>
      </x:c>
      <x:c r="C4" s="6" t="str">
        <x:v>在庫表示にはキャッシュや地域ページ差があります。価格・納期の確約は含みません。実機動作・製造適合試験は未実施。</x:v>
      </x:c>
      <x:c r="D4" s="6" t="str">
        <x:v>在庫表示にはキャッシュや地域ページ差があります。価格・納期の確約は含みません。実機動作・製造適合試験は未実施。</x:v>
      </x:c>
      <x:c r="E4" s="6" t="str">
        <x:v>在庫表示にはキャッシュや地域ページ差があります。価格・納期の確約は含みません。実機動作・製造適合試験は未実施。</x:v>
      </x:c>
    </x:row>
    <x:row r="5">
      <x:c r="A5" s="3"/>
      <x:c r="B5" s="3"/>
      <x:c r="C5" s="3"/>
      <x:c r="D5" s="3"/>
      <x:c r="E5" s="3"/>
    </x:row>
    <x:row r="6" ht="24" customHeight="1">
      <x:c r="A6" s="8" t="str">
        <x:v>位置</x:v>
      </x:c>
      <x:c r="B6" s="8" t="str">
        <x:v>選定メーカー品番</x:v>
      </x:c>
      <x:c r="C6" s="8" t="str">
        <x:v>基板フットプリント／元MPN</x:v>
      </x:c>
      <x:c r="D6" s="8" t="str">
        <x:v>選定理由・注意</x:v>
      </x:c>
      <x:c r="E6" s="8" t="str">
        <x:v>販売店製品ページ</x:v>
      </x:c>
    </x:row>
    <x:row r="7" ht="82.5" customHeight="1">
      <x:c r="A7" s="13" t="str">
        <x:v>C1, C2, C8, C12, C13, C20, C28</x:v>
      </x:c>
      <x:c r="B7" s="14" t="str">
        <x:v>CL21B106KPQNFNE</x:v>
      </x:c>
      <x:c r="C7" s="13" t="str">
        <x:v>logger_v2_custom:C_0805_2012Metric
元MPN: C2012X7R1H105KT000N; GRM21BR71A106KE51</x:v>
      </x:c>
      <x:c r="D7" s="13" t="str">
        <x:v>旧445-6857-1-NDが注文画面で入荷待ちのため差替え。Samsung製10µF±10%・10V・X7R、2.00×1.25mm、高さ最大1.40mm。同じ0805ランドに実装可能。DigiKey製品ページの直販在庫65,218個、CT10個284円（税別）表示を2026-09-23確認。実装7＋予備3。C20は現行Value=10u。</x:v>
      </x:c>
      <x:c r="E7" s="13" t="str">
        <x:v>https://www.digikey.jp/en/products/detail/samsung-electro-mechanics/CL21B106KPQNFNE/3891020</x:v>
      </x:c>
    </x:row>
    <x:row r="8" ht="82.5" customHeight="1">
      <x:c r="A8" s="3" t="str">
        <x:v>C3, C4, C5, C6, C14, C17, C19, C21, C22, C23, C24, C25, C26, C27</x:v>
      </x:c>
      <x:c r="B8" s="9" t="str">
        <x:v>GRM188R72A104KA35D</x:v>
      </x:c>
      <x:c r="C8" s="3" t="str">
        <x:v>logger_v2_custom:C_0603_1608Metric
元MPN: GRM188R72A104KA35D</x:v>
      </x:c>
      <x:c r="D8" s="3" t="str">
        <x:v>現行MPNを維持。C21～C27も現行Value=0.1u。</x:v>
      </x:c>
      <x:c r="E8" s="3" t="str">
        <x:v>https://www.digikey.jp/en/products/detail/murata-electronics/GRM188R72A104KA35D/702826</x:v>
      </x:c>
    </x:row>
    <x:row r="9" ht="82.5" customHeight="1">
      <x:c r="A9" s="13" t="str">
        <x:v>C7</x:v>
      </x:c>
      <x:c r="B9" s="14" t="str">
        <x:v>6SVPC330M</x:v>
      </x:c>
      <x:c r="C9" s="13" t="str">
        <x:v>logger_v2_expansion:CP_Elec_6.3x5.9
元MPN: 6SVPC330M</x:v>
      </x:c>
      <x:c r="D9" s="13" t="str">
        <x:v>指定品維持。ESR17mΩ、極性あり。</x:v>
      </x:c>
      <x:c r="E9" s="13" t="str">
        <x:v>https://www.digikey.jp/en/products/detail/panasonic-industry/6SVPC330M/4204943</x:v>
      </x:c>
    </x:row>
    <x:row r="10" ht="82.5" customHeight="1">
      <x:c r="A10" s="3" t="str">
        <x:v>C9, C10</x:v>
      </x:c>
      <x:c r="B10" s="9" t="str">
        <x:v>CC0603JRNPO9BN150</x:v>
      </x:c>
      <x:c r="C10" s="3" t="str">
        <x:v>logger_v2_custom:C_0603_1608Metric
元MPN: CC0603N150J500</x:v>
      </x:c>
      <x:c r="D10" s="3" t="str">
        <x:v>Value=15pを採用。古いSpecificationの18pF/CL12pFは不採用。 少量価格の段差も考慮して10個。</x:v>
      </x:c>
      <x:c r="E10" s="3" t="str">
        <x:v>https://www.digikey.jp/en/products/detail/yageo/CC0603JRNPO9BN150/302794</x:v>
      </x:c>
    </x:row>
    <x:row r="11" ht="82.5" customHeight="1">
      <x:c r="A11" s="13" t="str">
        <x:v>C11</x:v>
      </x:c>
      <x:c r="B11" s="14" t="str">
        <x:v>GRM188R72A103KA01D</x:v>
      </x:c>
      <x:c r="C11" s="13" t="str">
        <x:v>logger_v2_custom:C_0603_1608Metric
元MPN: GRM188B11H103KA01</x:v>
      </x:c>
      <x:c r="D11" s="13" t="str">
        <x:v>現行Value=0.01u。耐圧は元の50V以上。 少量価格の段差も考慮して10個。</x:v>
      </x:c>
      <x:c r="E11" s="13" t="str">
        <x:v>https://www.digikey.jp/en/products/detail/murata-electronics/GRM188R72A103KA01D/3845635</x:v>
      </x:c>
    </x:row>
    <x:row r="12" ht="82.5" customHeight="1">
      <x:c r="A12" s="3" t="str">
        <x:v>C15</x:v>
      </x:c>
      <x:c r="B12" s="9" t="str">
        <x:v>C2012X7R1H105K085AC</x:v>
      </x:c>
      <x:c r="C12" s="3" t="str">
        <x:v>logger_v2_custom:C_0805_2012Metric
元MPN: C2012X7R1H105KT000N</x:v>
      </x:c>
      <x:c r="D12" s="3" t="str">
        <x:v>同サイズ・同容量・同耐圧。高さ最大1.0mm。新規設計非推奨品だが在庫表示あり。</x:v>
      </x:c>
      <x:c r="E12" s="3" t="str">
        <x:v>https://www.digikey.jp/en/products/detail/tdk-corporation/C2012X7R1H105K085AC/3951775</x:v>
      </x:c>
    </x:row>
    <x:row r="13" ht="82.5" customHeight="1">
      <x:c r="A13" s="13" t="str">
        <x:v>D1, D4</x:v>
      </x:c>
      <x:c r="B13" s="14" t="str">
        <x:v>ESDCAN24-2BLY</x:v>
      </x:c>
      <x:c r="C13" s="13" t="str">
        <x:v>logger_v2_custom:SOT-23
元MPN: PEC3824C2A-AU_R1_000A1</x:v>
      </x:c>
      <x:c r="D13" s="13" t="str">
        <x:v>PEC3824C2A-AUの代替。1/2=CAN、3=GND。24V、Vbr最低27V、容量最大30pF。クランプ特性は元品と完全同一ではない。</x:v>
      </x:c>
      <x:c r="E13" s="13" t="str">
        <x:v>https://www.digikey.jp/en/products/detail/stmicroelectronics/ESDCAN24-2BLY/3661760</x:v>
      </x:c>
    </x:row>
    <x:row r="14" ht="82.5" customHeight="1">
      <x:c r="A14" s="3" t="str">
        <x:v>D5, D6, D7, D8, D9, D10, D11, D12</x:v>
      </x:c>
      <x:c r="B14" s="9" t="str">
        <x:v>LTST-C170KGKT</x:v>
      </x:c>
      <x:c r="C14" s="3" t="str">
        <x:v>logger_v2_custom:LED_0805_2012Metric_ShieldSilk
元MPN: OSG80805C1C</x:v>
      </x:c>
      <x:c r="D14" s="3" t="str">
        <x:v>同0805、1=カソード、2=アノード。元品と発光色・明るさに差あり。</x:v>
      </x:c>
      <x:c r="E14" s="3" t="str">
        <x:v>https://www.digikey.jp/en/products/detail/liteon/LTST-C170KGKT/386776</x:v>
      </x:c>
    </x:row>
    <x:row r="15" ht="82.5" customHeight="1">
      <x:c r="A15" s="13" t="str">
        <x:v>J6, J9</x:v>
      </x:c>
      <x:c r="B15" s="14" t="str">
        <x:v>43045-0400</x:v>
      </x:c>
      <x:c r="C15" s="13" t="str">
        <x:v>logger_v2_custom:Molex_Micro-Fit_3.0_43045-0400_2x02_P3.00mm_Horizontal
元MPN: 43045-0400</x:v>
      </x:c>
      <x:c r="D15" s="13" t="str">
        <x:v>43045-0400と同じ品番の表記違い。指定どおり2個だけ。ケーブル側・圧着端子は含めない。</x:v>
      </x:c>
      <x:c r="E15" s="13" t="str">
        <x:v>https://www.digikey.jp/en/products/detail/molex/0430450400/252527</x:v>
      </x:c>
    </x:row>
    <x:row r="16" ht="82.5" customHeight="1">
      <x:c r="A16" s="3" t="str">
        <x:v>J11</x:v>
      </x:c>
      <x:c r="B16" s="9" t="str">
        <x:v>2452796-1</x:v>
      </x:c>
      <x:c r="C16" s="3" t="str">
        <x:v>logger_v2_expansion:nanoSIM_TE_2452796-1_Hinge
元MPN: 2452796-1</x:v>
      </x:c>
      <x:c r="D16" s="3" t="str">
        <x:v>SDとは別部品。現行指定品維持。マーケットプレイス品ではなくDigiKey直販CTを指定。</x:v>
      </x:c>
      <x:c r="E16" s="3" t="str">
        <x:v>https://www.digikey.jp/en/products/detail/te-connectivity-linx/2452796-1/21284797</x:v>
      </x:c>
    </x:row>
    <x:row r="17" ht="82.5" customHeight="1">
      <x:c r="A17" s="13" t="str">
        <x:v>L1</x:v>
      </x:c>
      <x:c r="B17" s="14" t="str">
        <x:v>DFE252012F-2R2M=P2</x:v>
      </x:c>
      <x:c r="C17" s="13" t="str">
        <x:v>logger_v2_expansion:L_Murata_DFE252012P
元MPN: DFE252012P-2R2M=P2</x:v>
      </x:c>
      <x:c r="D17" s="13" t="str">
        <x:v>旧490-10649-1-NDがユーザーのカートで規制表示のためFシリーズへ差替え。2.2µH±20%、外形・高さ・推奨ランド（内側1.2/外側2.8/幅2.0mm）は元品と一致。Irms2.3A / Isat3.3A / DCR82mΩ最大（元2.2A/3.0A/84mΩ）。DigiKey直販190,191個、1個税別42円の表示を2026-09-23確認。3個＝実装1＋予備2。ユーザーカートでの規制解除は未確認。</x:v>
      </x:c>
      <x:c r="E17" s="13" t="str">
        <x:v>https://www.digikey.jp/en/products/detail/murata-electronics/DFE252012F-2R2M-P2/5812591</x:v>
      </x:c>
    </x:row>
    <x:row r="18" ht="82.5" customHeight="1">
      <x:c r="A18" s="3" t="str">
        <x:v>L2</x:v>
      </x:c>
      <x:c r="B18" s="9" t="str">
        <x:v>LQW18AN27NJ00D</x:v>
      </x:c>
      <x:c r="C18" s="3" t="str">
        <x:v>logger_v2_custom:L_0603_1608Metric
元MPN: LQW18AN27NJ00D</x:v>
      </x:c>
      <x:c r="D18" s="3" t="str">
        <x:v>指定品維持。440mA、SRF3.7GHz以上。一般電源用インダクタには置換しない。</x:v>
      </x:c>
      <x:c r="E18" s="3" t="str">
        <x:v>https://www.digikey.jp/en/products/detail/murata-electronics/LQW18AN27NJ00D/584382</x:v>
      </x:c>
    </x:row>
    <x:row r="19" ht="82.5" customHeight="1">
      <x:c r="A19" s="13" t="str">
        <x:v>Q1</x:v>
      </x:c>
      <x:c r="B19" s="14" t="str">
        <x:v>2N7002ET1G</x:v>
      </x:c>
      <x:c r="C19" s="13" t="str">
        <x:v>logger_v2_expansion:SOT-23
元MPN: 2N7002</x:v>
      </x:c>
      <x:c r="D19" s="13" t="str">
        <x:v>2N7002相当。1=G、2=S、3=Dで基板と一致。</x:v>
      </x:c>
      <x:c r="E19" s="13" t="str">
        <x:v>https://www.digikey.jp/en/products/detail/onsemi/2N7002ET1G/1792136</x:v>
      </x:c>
    </x:row>
    <x:row r="20" ht="82.5" customHeight="1">
      <x:c r="A20" s="3" t="str">
        <x:v>R1, R5, R11</x:v>
      </x:c>
      <x:c r="B20" s="9" t="str">
        <x:v>CRT0603-BY-1003ELF</x:v>
      </x:c>
      <x:c r="C20" s="3" t="str">
        <x:v>logger_v2_custom:R_0603_1608Metric
元MPN: RK73B1JTTD103J</x:v>
      </x:c>
      <x:c r="D20" s="3" t="str">
        <x:v>0603・100kΩ・0.1%・0.1W。R11の帰還精度を優先し同一品へ統一。</x:v>
      </x:c>
      <x:c r="E20" s="3" t="str">
        <x:v>https://www.digikey.jp/en/products/detail/bourns-inc/CRT0603-BY-1003ELF/1775045</x:v>
      </x:c>
    </x:row>
    <x:row r="21" ht="82.5" customHeight="1">
      <x:c r="A21" s="13" t="str">
        <x:v>R4, R23, R24, R25, R26, R27, R28, R29, R30</x:v>
      </x:c>
      <x:c r="B21" s="14" t="str">
        <x:v>RC0603FR-071KL</x:v>
      </x:c>
      <x:c r="C21" s="13" t="str">
        <x:v>logger_v2_custom:R_0603_1608Metric
元MPN: RK73B1JTTD102J; RK73B1JTTD103J</x:v>
      </x:c>
      <x:c r="D21" s="13" t="str">
        <x:v>Value基準。古いMPNに10kΩ表記が残る箇所あり。</x:v>
      </x:c>
      <x:c r="E21" s="13" t="str">
        <x:v>https://www.digikey.jp/en/products/detail/yageo/RC0603FR-071KL/729790</x:v>
      </x:c>
    </x:row>
    <x:row r="22" ht="82.5" customHeight="1">
      <x:c r="A22" s="3" t="str">
        <x:v>R6, R8, R22, R31, R32</x:v>
      </x:c>
      <x:c r="B22" s="9" t="str">
        <x:v>RC0603FR-0747KL</x:v>
      </x:c>
      <x:c r="C22" s="3" t="str">
        <x:v>logger_v2_custom:R_0603_1608Metric
元MPN: RC0603J47K; RK73B1JTTD103J</x:v>
      </x:c>
      <x:c r="D22" s="3" t="str">
        <x:v>同サイズの1%品。</x:v>
      </x:c>
      <x:c r="E22" s="3" t="str">
        <x:v>https://www.digikey.jp/en/products/detail/yageo/RC0603FR-0747KL/727253</x:v>
      </x:c>
    </x:row>
    <x:row r="23" ht="82.5" customHeight="1">
      <x:c r="A23" s="13" t="str">
        <x:v>R10</x:v>
      </x:c>
      <x:c r="B23" s="14" t="str">
        <x:v>RC0603FR-07374KL</x:v>
      </x:c>
      <x:c r="C23" s="13" t="str">
        <x:v>logger_v2_custom:R_0603_1608Metric
元MPN: RK73B1JTTD103J</x:v>
      </x:c>
      <x:c r="D23" s="13" t="str">
        <x:v>電源帰還上側。Value=374kを採用。 少量価格の段差も考慮して10個。</x:v>
      </x:c>
      <x:c r="E23" s="13" t="str">
        <x:v>https://www.digikey.jp/en/products/detail/yageo/RC0603FR-07374KL/727189</x:v>
      </x:c>
    </x:row>
    <x:row r="24" ht="82.5" customHeight="1">
      <x:c r="A24" s="3" t="str">
        <x:v>R14, R16</x:v>
      </x:c>
      <x:c r="B24" s="9" t="str">
        <x:v>RC0603FR-07120RL</x:v>
      </x:c>
      <x:c r="C24" s="3" t="str">
        <x:v>logger_v2_custom:R_0603_1608Metric
元MPN: RC0603J120R</x:v>
      </x:c>
      <x:c r="D24" s="3" t="str">
        <x:v>現行DNP=noのため含む。接続するCANバスの終端配置に従って実装する。 少量価格の段差も考慮して10個。</x:v>
      </x:c>
      <x:c r="E24" s="3" t="str">
        <x:v>https://www.digikey.jp/en/products/detail/yageo/RC0603FR-07120RL/726920</x:v>
      </x:c>
    </x:row>
    <x:row r="25" ht="82.5" customHeight="1">
      <x:c r="A25" s="13" t="str">
        <x:v>R17, R18, R19</x:v>
      </x:c>
      <x:c r="B25" s="14" t="str">
        <x:v>CRCW060322R0FKEA</x:v>
      </x:c>
      <x:c r="C25" s="13" t="str">
        <x:v>logger_v2_custom:R_0603_1608Metric
元MPN: RK73B1JTTD103J</x:v>
      </x:c>
      <x:c r="D25" s="13" t="str">
        <x:v>0603・22Ω・1%・0.1Wを維持。在庫表示のあるVishay品。</x:v>
      </x:c>
      <x:c r="E25" s="13" t="str">
        <x:v>https://www.digikey.jp/en/products/detail/vishay-dale/CRCW060322R0FKEA/1179617</x:v>
      </x:c>
    </x:row>
    <x:row r="26" ht="82.5" customHeight="1">
      <x:c r="A26" s="3" t="str">
        <x:v>R20, R21</x:v>
      </x:c>
      <x:c r="B26" s="9" t="str">
        <x:v>RC0603JR-070RL</x:v>
      </x:c>
      <x:c r="C26" s="3" t="str">
        <x:v>logger_v2_custom:R_0603_1608Metric
元MPN: RK73B1JTTD103J</x:v>
      </x:c>
      <x:c r="D26" s="3" t="str">
        <x:v>現行Value=0Ω。 少量価格の段差も考慮して10個。</x:v>
      </x:c>
      <x:c r="E26" s="3" t="str">
        <x:v>https://www.digikey.jp/en/products/detail/yageo/RC0603JR-070RL/726675</x:v>
      </x:c>
    </x:row>
    <x:row r="27" ht="82.5" customHeight="1">
      <x:c r="A27" s="13" t="str">
        <x:v>R15</x:v>
      </x:c>
      <x:c r="B27" s="14" t="str">
        <x:v>RMCF2512JT27R0</x:v>
      </x:c>
      <x:c r="C27" s="13" t="str">
        <x:v>logger_v2_custom:R_2512_6332Metric
元MPN: CRCW251227R0JNEG</x:v>
      </x:c>
      <x:c r="D27" s="13" t="str">
        <x:v>2512・27Ω・5%・1Wを維持。同サイズのStackpole品へ置換。</x:v>
      </x:c>
      <x:c r="E27" s="13" t="str">
        <x:v>https://www.digikey.jp/en/products/detail/stackpole-electronics-inc/RMCF2512JT27R0/4425469</x:v>
      </x:c>
    </x:row>
    <x:row r="28" ht="82.5" customHeight="1">
      <x:c r="A28" s="3" t="str">
        <x:v>U2</x:v>
      </x:c>
      <x:c r="B28" s="9" t="str">
        <x:v>AP63301WU-7</x:v>
      </x:c>
      <x:c r="C28" s="3" t="str">
        <x:v>logger_v2_expansion:Diodes_TSOT26
元MPN: AP63301WU-7</x:v>
      </x:c>
      <x:c r="D28" s="3" t="str">
        <x:v>指定品維持。AP63300/固定電圧版と混同しない。</x:v>
      </x:c>
      <x:c r="E28" s="3" t="str">
        <x:v>https://www.digikey.jp/en/products/detail/diodes-incorporated/AP63301WU-7/10491607</x:v>
      </x:c>
    </x:row>
    <x:row r="29" ht="82.5" customHeight="1">
      <x:c r="A29" s="13" t="str">
        <x:v>U3</x:v>
      </x:c>
      <x:c r="B29" s="14" t="str">
        <x:v>TXU0204PWR</x:v>
      </x:c>
      <x:c r="C29" s="13" t="str">
        <x:v>logger_v2_expansion:TSSOP-14_4.4x5mm_P0.65mm
元MPN: TXU0204PWR</x:v>
      </x:c>
      <x:c r="D29" s="13" t="str">
        <x:v>指定品維持。PWパッケージ。</x:v>
      </x:c>
      <x:c r="E29" s="13" t="str">
        <x:v>https://www.digikey.jp/en/products/detail/texas-instruments/TXU0204PWR/14641512</x:v>
      </x:c>
    </x:row>
    <x:row r="30" ht="82.5" customHeight="1">
      <x:c r="A30" s="3" t="str">
        <x:v>U4</x:v>
      </x:c>
      <x:c r="B30" s="9" t="str">
        <x:v>MCP25625T-E/SS</x:v>
      </x:c>
      <x:c r="C30" s="3" t="str">
        <x:v>logger_v2_custom:SSOP-28_5.3x10.2mm_P0.65mm
元MPN: MCP25625T-E/SS</x:v>
      </x:c>
      <x:c r="D30" s="3" t="str">
        <x:v>指定品維持。/SSパッケージ。高価なため予備なし。</x:v>
      </x:c>
      <x:c r="E30" s="3" t="str">
        <x:v>https://www.digikey.jp/en/products/detail/microchip-technology/MCP25625T-E-SS/4860100</x:v>
      </x:c>
    </x:row>
    <x:row r="31" ht="82.5" customHeight="1">
      <x:c r="A31" s="13" t="str">
        <x:v>U6</x:v>
      </x:c>
      <x:c r="B31" s="14" t="str">
        <x:v>SIM7070G</x:v>
      </x:c>
      <x:c r="C31" s="13" t="str">
        <x:v>logger_v2_expansion:SIMCom_SIM7070G_LCC68_24x24mm_P1mm
元MPN: SIM7070G</x:v>
      </x:c>
      <x:c r="D31" s="13" t="str">
        <x:v>指定の裸モジュール。開発ボードではない。高価なため予備なし。</x:v>
      </x:c>
      <x:c r="E31" s="13" t="str">
        <x:v>https://www.digikey.jp/en/products/detail/simcom-wireless-solutions-limited/SIM7070G/15841451</x:v>
      </x:c>
    </x:row>
    <x:row r="32" ht="82.5" customHeight="1">
      <x:c r="A32" s="3" t="str">
        <x:v>U7</x:v>
      </x:c>
      <x:c r="B32" s="9" t="str">
        <x:v>ATA6561-GAQW-N</x:v>
      </x:c>
      <x:c r="C32" s="3" t="str">
        <x:v>logger_v2_custom:SOIC-8_3.9x4.9mm_P1.27mm
元MPN: ATA6561-GAQW-N</x:v>
      </x:c>
      <x:c r="D32" s="3" t="str">
        <x:v>指定品維持。VDFN版を選ばない。</x:v>
      </x:c>
      <x:c r="E32" s="3" t="str">
        <x:v>https://www.digikey.jp/en/products/detail/microchip-technology/ATA6561-GAQW-N/9453105</x:v>
      </x:c>
    </x:row>
    <x:row r="33" ht="82.5" customHeight="1">
      <x:c r="A33" s="13" t="str">
        <x:v>U8</x:v>
      </x:c>
      <x:c r="B33" s="14" t="str">
        <x:v>TC74HC595AF(EL,F)</x:v>
      </x:c>
      <x:c r="C33" s="13" t="str">
        <x:v>logger_v2_custom:Toshiba_SOP16_P300_1.27A
元MPN: TC74HC595AF</x:v>
      </x:c>
      <x:c r="D33" s="13" t="str">
        <x:v>指定AFのSOP16を維持。一般的な幅3.9mm SOICの74HC595は合わない。</x:v>
      </x:c>
      <x:c r="E33" s="13" t="str">
        <x:v>https://www.digikey.jp/en/products/detail/toshiba-semiconductor-and-storage/TC74HC595AF-EL-F/6679568</x:v>
      </x:c>
    </x:row>
    <x:row r="34" ht="82.5" customHeight="1">
      <x:c r="A34" s="3" t="str">
        <x:v>U9, U10</x:v>
      </x:c>
      <x:c r="B34" s="9" t="str">
        <x:v>USBLC6-4SC6Y</x:v>
      </x:c>
      <x:c r="C34" s="3" t="str">
        <x:v>logger_v2_expansion:SOT-23-6
元MPN: USBLC6-4SC6</x:v>
      </x:c>
      <x:c r="D34" s="3" t="str">
        <x:v>USBLC6-4SC6の車載グレード品。同じ4線・SOT23-6・ピン配置。2=GND、5=VBUS、1/3/4/6=I/O。</x:v>
      </x:c>
      <x:c r="E34" s="3" t="str">
        <x:v>https://www.digikey.jp/en/products/detail/stmicroelectronics/USBLC6-4SC6Y/2756524</x:v>
      </x:c>
    </x:row>
    <x:row r="35" ht="82.5" customHeight="1">
      <x:c r="A35" s="13" t="str">
        <x:v>Y1</x:v>
      </x:c>
      <x:c r="B35" s="14" t="str">
        <x:v>ABM8-20.000MHZ-10-B1U-T</x:v>
      </x:c>
      <x:c r="C35" s="13" t="str">
        <x:v>logger_v2_custom:Crystal_SMD_3225-4Pin_3.2x2.5mm
元MPN: 20M10PB/XT324-10/80</x:v>
      </x:c>
      <x:c r="D35" s="13" t="str">
        <x:v>同寸法3.2×2.5mm、CL10pF。1/3=水晶、2/4=GND。発振余裕は実機で確認。</x:v>
      </x:c>
      <x:c r="E35" s="13" t="str">
        <x:v>https://www.digikey.jp/en/products/detail/abracon-llc/ABM8-20-000MHZ-10-B1U-T/9997881</x:v>
      </x:c>
    </x:row>
    <x:row r="36" ht="142.5" customHeight="1">
      <x:c r="A36" s="19" t="str">
        <x:v>D2</x:v>
      </x:c>
      <x:c r="B36" s="20" t="str">
        <x:v>AQ3045-01ETG</x:v>
      </x:c>
      <x:c r="C36" s="19" t="str">
        <x:v>logger_v2_custom:D_SOD-882
元MPN: PESD5V0F1BL-Q</x:v>
      </x:c>
      <x:c r="D36" s="19" t="str">
        <x:v>GNSSアンテナESD用の機能代替。SOD882・端子ピッチ0.65mm、現PCBの0.4×0.7mmパッドに端子が重なる。容量typ0.35/max0.5pF（元0.4/0.55）、双方向。VRWM5.3V（元5.5）、Vc最大12V@1A（元11V@1A）で全特性同一ではない。3A・ESD±30kV。DigiKey直販82,168個表示。RF/ESD実機試験未実施。</x:v>
      </x:c>
      <x:c r="E36" s="19" t="str">
        <x:v>https://www.digikey.jp/en/products/detail/littelfuse-inc/AQ3045-01ETG/6347831</x:v>
      </x:c>
    </x:row>
    <x:row r="37" ht="142.5" customHeight="1">
      <x:c r="A37" s="19" t="str">
        <x:v>D3</x:v>
      </x:c>
      <x:c r="B37" s="20" t="str">
        <x:v>CSPSBHC4V5LB-TP</x:v>
      </x:c>
      <x:c r="C37" s="19" t="str">
        <x:v>logger_v2_expansion:Prisemi_DFN1006_2L
元MPN: (空欄)</x:v>
      </x:c>
      <x:c r="D37" s="19" t="str">
        <x:v>3.8V電源ESD用の機能代替。4.5V双方向、端子ピッチ0.65mm・長さ0.20～0.30/幅0.45～0.55mmで現PCBの0.4×0.6mmパッドに実装可能。Vc最大8.5V@50A/10.5V@100A（元12V@25A）、100A/900W。容量最大300pF、Tj上限125℃。元品のVhold最低4.6Vに対し本品は保証値記載なし、1Aクランプも保証値なし。全特性同一ではなく、実機サージ後復帰は未検証。DigiKey地域ページに10,002個表示。</x:v>
      </x:c>
      <x:c r="E37" s="19" t="str">
        <x:v>https://www.digikey.jp/en/products/detail/mcc-micro-commercial-components/CSPSBHC4V5LB-TP/22557216</x:v>
      </x:c>
    </x:row>
    <x:row r="38">
      <x:c r="A38" s="3"/>
      <x:c r="B38" s="3"/>
      <x:c r="C38" s="3"/>
      <x:c r="D38" s="3"/>
      <x:c r="E38" s="3"/>
    </x:row>
    <x:row r="39">
      <x:c r="A39" s="3"/>
      <x:c r="B39" s="3"/>
      <x:c r="C39" s="3"/>
      <x:c r="D39" s="3"/>
      <x:c r="E39" s="3"/>
    </x:row>
    <x:row r="40">
      <x:c r="A40" s="3"/>
      <x:c r="B40" s="3"/>
      <x:c r="C40" s="3"/>
      <x:c r="D40" s="3"/>
      <x:c r="E40" s="3"/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</x:worksheet>
</file>
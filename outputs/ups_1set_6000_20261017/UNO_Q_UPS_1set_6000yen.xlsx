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35a28f290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Key" sheetId="1" r:id="R8a4fc87eec8a4115"/>
    <x:sheet xmlns:r="http://schemas.openxmlformats.org/officeDocument/2006/relationships" name="秋月店頭" sheetId="2" r:id="Raf3ed8421364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¥#,##0"/>
    <x:numFmt numFmtId="202" formatCode="0"/>
    <x:numFmt numFmtId="203" formatCode="¥#,##0.##"/>
  </x:numFmts>
  <x:fonts count="6">
    <x:font>
      <x:sz val="11"/>
      <x:name val="Carlito"/>
    </x:font>
    <x:font>
      <x:sz val="10"/>
      <x:color rgb="FF263747"/>
      <x:name val="Yu Gothic"/>
    </x:font>
    <x:font>
      <x:b/>
      <x:sz val="18"/>
      <x:color rgb="FF163D52"/>
      <x:name val="Yu Gothic"/>
    </x:font>
    <x:font>
      <x:b/>
      <x:sz val="10"/>
      <x:color rgb="FF263747"/>
      <x:name val="Yu Gothic"/>
    </x:font>
    <x:font>
      <x:b/>
      <x:sz val="10"/>
      <x:color rgb="FFFFFFFF"/>
      <x:name val="Yu Gothic"/>
    </x:font>
    <x:font>
      <x:b/>
      <x:sz val="16"/>
      <x:color rgb="FF263747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DDF1E8"/>
      </x:patternFill>
    </x:fill>
    <x:fill>
      <x:patternFill patternType="solid">
        <x:fgColor rgb="FF163D52"/>
      </x:patternFill>
    </x:fill>
    <x:fill>
      <x:patternFill patternType="solid">
        <x:fgColor rgb="FFF0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202" fontId="1" fillId="4" borderId="0" xfId="0" applyNumberFormat="1" applyFont="1" applyFill="1" applyBorder="1" applyAlignment="1">
      <x:alignment horizontal="center" vertical="center" wrapText="1"/>
    </x:xf>
    <x:xf numFmtId="203" fontId="1" fillId="4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/>
    </x:xf>
    <x:xf numFmtId="203" fontId="3" fillId="0" borderId="0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/>
    <x:xf numFmtId="201" fontId="5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0ad7651f14cc6" /><Relationship Type="http://schemas.openxmlformats.org/officeDocument/2006/relationships/theme" Target="/xl/theme/theme1.xml" Id="Rac5fdfceb5a34377" /><Relationship Type="http://schemas.openxmlformats.org/officeDocument/2006/relationships/sharedStrings" Target="/xl/sharedStrings.xml" Id="R04e96a70b1be41b7" /><Relationship Type="http://schemas.openxmlformats.org/officeDocument/2006/relationships/worksheet" Target="/xl/worksheets/sheet1.xml" Id="R8a4fc87eec8a4115" /><Relationship Type="http://schemas.openxmlformats.org/officeDocument/2006/relationships/worksheet" Target="/xl/worksheets/sheet2.xml" Id="Raf3ed8421364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24" hidden="0" customWidth="1"/>
    <x:col min="2" max="2" width="15" hidden="0" customWidth="1"/>
    <x:col min="3" max="3" width="31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13" hidden="0" customWidth="1"/>
    <x:col min="9" max="9" width="36" hidden="0" customWidth="1"/>
    <x:col min="10" max="10" width="5" hidden="0" customWidth="1"/>
    <x:col min="11" max="11" width="35" hidden="0" customWidth="1"/>
    <x:col min="12" max="12" width="49" hidden="0" customWidth="1"/>
    <x:col min="13" max="13" width="67" hidden="0" customWidth="1"/>
    <x:col min="14" max="14" width="75" hidden="0" customWidth="1"/>
    <x:col min="15" max="15" width="15" hidden="0" customWidth="1"/>
    <x:col min="16" max="16" width="15" hidden="0" customWidth="1"/>
    <x:col min="17" max="17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2" t="str">
        <x:v>UNO Q UPS｜1セット用 DigiKey BOM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4" t="str">
        <x:v>秋月は秋葉原店頭で購入。DigiKeyは送料無料ラインの税抜6,000円付近に調整。</x:v>
      </x:c>
      <x:c r="B3" s="4"/>
      <x:c r="C3" s="4"/>
      <x:c r="D3" s="4"/>
      <x:c r="E3" s="4"/>
      <x:c r="F3" s="4"/>
      <x:c r="G3" s="4"/>
      <x:c r="H3" s="4"/>
      <x:c r="I3" s="4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1" t="str">
        <x:v>商品小計（税抜）</x:v>
      </x:c>
      <x:c r="B4" s="8" t="n">
        <x:f>SUM(H10:H29)</x:f>
        <x:v>6014</x:v>
      </x:c>
      <x:c r="C4" s="1" t="str">
        <x:v>税込概算</x:v>
      </x:c>
      <x:c r="D4" s="8" t="n">
        <x:f>ROUND(B4*(1+$F$4),0)</x:f>
        <x:v>6615</x:v>
      </x:c>
      <x:c r="E4" s="1" t="str">
        <x:v>消費税率</x:v>
      </x:c>
      <x:c r="F4" s="5" t="n">
        <x:v>0.1</x:v>
      </x:c>
      <x:c r="G4" s="1" t="str">
        <x:v>秋月込概算</x:v>
      </x:c>
      <x:c r="H4" s="8" t="n">
        <x:f>D4+'秋月店頭'!H4</x:f>
        <x:v>7360</x:v>
      </x:c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4" t="str">
        <x:v>2026-10-17確認｜20品種・必要30個・注文115個。小さな抵抗・コンデンサは予備付き。</x:v>
      </x:c>
      <x:c r="B5" s="4"/>
      <x:c r="C5" s="4"/>
      <x:c r="D5" s="4"/>
      <x:c r="E5" s="4"/>
      <x:c r="F5" s="4"/>
      <x:c r="G5" s="4"/>
      <x:c r="H5" s="4"/>
      <x:c r="I5" s="4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4" t="str">
        <x:v>注文数はE列。カットテープ（CT）を指定し、追加料金のあるDigi-Reelは選択しません。</x:v>
      </x:c>
      <x:c r="B6" s="4"/>
      <x:c r="C6" s="4"/>
      <x:c r="D6" s="4"/>
      <x:c r="E6" s="4"/>
      <x:c r="F6" s="4"/>
      <x:c r="G6" s="4"/>
      <x:c r="H6" s="4"/>
      <x:c r="I6" s="4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4" t="str">
        <x:v>価格・在庫は確認時の表示。税込は10%の概算、注文画面の最終金額を優先してください。</x:v>
      </x:c>
      <x:c r="B7" s="4"/>
      <x:c r="C7" s="4"/>
      <x:c r="D7" s="4"/>
      <x:c r="E7" s="4"/>
      <x:c r="F7" s="4"/>
      <x:c r="G7" s="4"/>
      <x:c r="H7" s="4"/>
      <x:c r="I7" s="4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8" customHeight="1">
      <x:c r="A9" s="12" t="str">
        <x:v>部品番号</x:v>
      </x:c>
      <x:c r="B9" s="12" t="str">
        <x:v>値</x:v>
      </x:c>
      <x:c r="C9" s="12" t="str">
        <x:v>購入メーカー型番</x:v>
      </x:c>
      <x:c r="D9" s="12" t="str">
        <x:v>必要数</x:v>
      </x:c>
      <x:c r="E9" s="12" t="str">
        <x:v>注文数</x:v>
      </x:c>
      <x:c r="F9" s="12" t="str">
        <x:v>予備</x:v>
      </x:c>
      <x:c r="G9" s="12" t="str">
        <x:v>単価
税抜円</x:v>
      </x:c>
      <x:c r="H9" s="12" t="str">
        <x:v>小計
税抜円</x:v>
      </x:c>
      <x:c r="I9" s="12" t="str">
        <x:v>DigiKey注文番号</x:v>
      </x:c>
      <x:c r="J9" s="12" t="str"/>
      <x:c r="K9" s="12" t="str">
        <x:v>現行設計MPN</x:v>
      </x:c>
      <x:c r="L9" s="12" t="str">
        <x:v>フットプリント</x:v>
      </x:c>
      <x:c r="M9" s="12" t="str">
        <x:v>仕様</x:v>
      </x:c>
      <x:c r="N9" s="12" t="str">
        <x:v>購入代替・備考</x:v>
      </x:c>
      <x:c r="O9" s="12" t="str">
        <x:v>確認在庫
個</x:v>
      </x:c>
      <x:c r="P9" s="12" t="str">
        <x:v>確認日</x:v>
      </x:c>
      <x:c r="Q9" s="12" t="str">
        <x:v>購入ページ / 価格出典</x:v>
      </x:c>
    </x:row>
    <x:row r="10" ht="66" customHeight="1">
      <x:c r="A10" s="4" t="str">
        <x:v>C1, C2</x:v>
      </x:c>
      <x:c r="B10" s="4" t="str">
        <x:v>47u</x:v>
      </x:c>
      <x:c r="C10" s="4" t="str">
        <x:v>25SVPF47M</x:v>
      </x:c>
      <x:c r="D10" s="22" t="n">
        <x:v>2</x:v>
      </x:c>
      <x:c r="E10" s="23" t="n">
        <x:v>2</x:v>
      </x:c>
      <x:c r="F10" s="22" t="n">
        <x:f>E10-D10</x:f>
        <x:v>0</x:v>
      </x:c>
      <x:c r="G10" s="24" t="n">
        <x:v>280</x:v>
      </x:c>
      <x:c r="H10" s="24" t="n">
        <x:f>E10*G10</x:f>
        <x:v>560</x:v>
      </x:c>
      <x:c r="I10" s="4" t="str">
        <x:v>P16513CT-ND</x:v>
      </x:c>
      <x:c r="J10" s="4" t="str"/>
      <x:c r="K10" s="4" t="str">
        <x:v>25SVPF47M</x:v>
      </x:c>
      <x:c r="L10" s="4" t="str">
        <x:v>logger_v2_ups:CP_Elec_6.3x5.9</x:v>
      </x:c>
      <x:c r="M10" s="4" t="str">
        <x:v>47uF 25V aluminum solid polymer; ESR 30mohm; ripple 2.8A @100kHz 105C</x:v>
      </x:c>
      <x:c r="N10" s="4" t="str"/>
      <x:c r="O10" s="4" t="n">
        <x:v>47706</x:v>
      </x:c>
      <x:c r="P10" s="4" t="str">
        <x:v>2026-10-17</x:v>
      </x:c>
      <x:c r="Q10" s="4" t="str">
        <x:v>https://www.digikey.jp/en/products/detail/panasonic-industry/25SVPF47M/4204320</x:v>
      </x:c>
    </x:row>
    <x:row r="11" ht="66" customHeight="1">
      <x:c r="A11" s="13" t="str">
        <x:v>C3, C4, C9</x:v>
      </x:c>
      <x:c r="B11" s="13" t="str">
        <x:v>22u</x:v>
      </x:c>
      <x:c r="C11" s="13" t="str">
        <x:v>EMK316BB7226ML-T</x:v>
      </x:c>
      <x:c r="D11" s="25" t="n">
        <x:v>3</x:v>
      </x:c>
      <x:c r="E11" s="23" t="n">
        <x:v>3</x:v>
      </x:c>
      <x:c r="F11" s="25" t="n">
        <x:f>E11-D11</x:f>
        <x:v>0</x:v>
      </x:c>
      <x:c r="G11" s="26" t="n">
        <x:v>111</x:v>
      </x:c>
      <x:c r="H11" s="26" t="n">
        <x:f>E11*G11</x:f>
        <x:v>333</x:v>
      </x:c>
      <x:c r="I11" s="13" t="str">
        <x:v>587-4319-1-ND</x:v>
      </x:c>
      <x:c r="J11" s="13" t="str"/>
      <x:c r="K11" s="13" t="str">
        <x:v>EMK316BB7226ML-T</x:v>
      </x:c>
      <x:c r="L11" s="13" t="str">
        <x:v>Capacitor_SMD:C_1206_3216Metric</x:v>
      </x:c>
      <x:c r="M11" s="13" t="str">
        <x:v>22uF +/-20%; 16V; X7R MLCC; 3216 (1206); -55..125C; non-polarized</x:v>
      </x:c>
      <x:c r="N11" s="13" t="str"/>
      <x:c r="O11" s="13" t="n">
        <x:v>71149</x:v>
      </x:c>
      <x:c r="P11" s="13" t="str">
        <x:v>2026-10-17</x:v>
      </x:c>
      <x:c r="Q11" s="13" t="str">
        <x:v>https://www.digikey.jp/en/products/detail/taiyo-yuden/EMK316BB7226ML-T/5361263</x:v>
      </x:c>
    </x:row>
    <x:row r="12" ht="66" customHeight="1">
      <x:c r="A12" s="4" t="str">
        <x:v>C5</x:v>
      </x:c>
      <x:c r="B12" s="4" t="str">
        <x:v>1u</x:v>
      </x:c>
      <x:c r="C12" s="4" t="str">
        <x:v>GCM21BR71H105KA03L</x:v>
      </x:c>
      <x:c r="D12" s="22" t="n">
        <x:v>1</x:v>
      </x:c>
      <x:c r="E12" s="23" t="n">
        <x:v>2</x:v>
      </x:c>
      <x:c r="F12" s="22" t="n">
        <x:f>E12-D12</x:f>
        <x:v>1</x:v>
      </x:c>
      <x:c r="G12" s="24" t="n">
        <x:v>41</x:v>
      </x:c>
      <x:c r="H12" s="24" t="n">
        <x:f>E12*G12</x:f>
        <x:v>82</x:v>
      </x:c>
      <x:c r="I12" s="4" t="str">
        <x:v>490-10675-1-ND</x:v>
      </x:c>
      <x:c r="J12" s="4" t="str"/>
      <x:c r="K12" s="4" t="str">
        <x:v>C0805C105K5RACTU</x:v>
      </x:c>
      <x:c r="L12" s="4" t="str">
        <x:v>logger_v2_ups:C_0805_2012Metric</x:v>
      </x:c>
      <x:c r="M12" s="4" t="str">
        <x:v>1uF 50V X7R +/-10% MLCC 0805</x:v>
      </x:c>
      <x:c r="N12" s="4" t="str">
        <x:v>秋月115331は秋葉原店頭在庫0のためDigiKeyへ。同じ1µF・50V・X7R・±10%・0805。カットテープ価格41円。</x:v>
      </x:c>
      <x:c r="O12" s="4" t="n">
        <x:v>58620</x:v>
      </x:c>
      <x:c r="P12" s="4" t="str">
        <x:v>2026-10-17</x:v>
      </x:c>
      <x:c r="Q12" s="4" t="str">
        <x:v>https://www.digikey.jp/en/products/detail/murata-electronics/GCM21BR71H105KA03L/4903984</x:v>
      </x:c>
    </x:row>
    <x:row r="13" ht="66" customHeight="1">
      <x:c r="A13" s="13" t="str">
        <x:v>C6, C7, C8, C12, C13, C14</x:v>
      </x:c>
      <x:c r="B13" s="13" t="str">
        <x:v>7F(2.7V)</x:v>
      </x:c>
      <x:c r="C13" s="13" t="str">
        <x:v>HVH1020-2R7705-R</x:v>
      </x:c>
      <x:c r="D13" s="25" t="n">
        <x:v>6</x:v>
      </x:c>
      <x:c r="E13" s="23" t="n">
        <x:v>6</x:v>
      </x:c>
      <x:c r="F13" s="25" t="n">
        <x:f>E13-D13</x:f>
        <x:v>0</x:v>
      </x:c>
      <x:c r="G13" s="26" t="n">
        <x:v>211</x:v>
      </x:c>
      <x:c r="H13" s="26" t="n">
        <x:f>E13*G13</x:f>
        <x:v>1266</x:v>
      </x:c>
      <x:c r="I13" s="13" t="str">
        <x:v>283-HVH1020-2R7705-R-ND</x:v>
      </x:c>
      <x:c r="J13" s="13" t="str"/>
      <x:c r="K13" s="13" t="str">
        <x:v>HVH1020-2R7705-R</x:v>
      </x:c>
      <x:c r="L13" s="13" t="str">
        <x:v>logger_v2_ups:Eaton_HVH1020-2R7705-R_D10_L20_P5_Horizontal</x:v>
      </x:c>
      <x:c r="M13" s="13" t="str">
        <x:v>7F +/-20%; 2.7V; ESR DC max113mohm / 1kHz max75mohm; -40..70C; D10(+0.5) L20(+/-2) P5(+/-0.5)mm</x:v>
      </x:c>
      <x:c r="N13" s="13" t="str">
        <x:v>価格優先で7F採用。旧10F比で公称エネルギー70%。横置き・90度リード曲げ、実機保持時間未検証。</x:v>
      </x:c>
      <x:c r="O13" s="13" t="n">
        <x:v>4000</x:v>
      </x:c>
      <x:c r="P13" s="13" t="str">
        <x:v>2026-10-17</x:v>
      </x:c>
      <x:c r="Q13" s="13" t="str">
        <x:v>https://www.digikey.jp/ja/products/detail/eaton-electronics-division/HVH1020-2R7705-R/28140394</x:v>
      </x:c>
    </x:row>
    <x:row r="14" ht="66" customHeight="1">
      <x:c r="A14" s="4" t="str">
        <x:v>C10</x:v>
      </x:c>
      <x:c r="B14" s="4" t="str">
        <x:v>2.2n</x:v>
      </x:c>
      <x:c r="C14" s="4" t="str">
        <x:v>C2012C0G1H222J085AA</x:v>
      </x:c>
      <x:c r="D14" s="22" t="n">
        <x:v>1</x:v>
      </x:c>
      <x:c r="E14" s="23" t="n">
        <x:v>2</x:v>
      </x:c>
      <x:c r="F14" s="22" t="n">
        <x:f>E14-D14</x:f>
        <x:v>1</x:v>
      </x:c>
      <x:c r="G14" s="24" t="n">
        <x:v>28</x:v>
      </x:c>
      <x:c r="H14" s="24" t="n">
        <x:f>E14*G14</x:f>
        <x:v>56</x:v>
      </x:c>
      <x:c r="I14" s="4" t="str">
        <x:v>445-1332-1-ND</x:v>
      </x:c>
      <x:c r="J14" s="4" t="str"/>
      <x:c r="K14" s="4" t="str">
        <x:v>C0805C222J5GACTU</x:v>
      </x:c>
      <x:c r="L14" s="4" t="str">
        <x:v>logger_v2_ups:C_0805_2012Metric</x:v>
      </x:c>
      <x:c r="M14" s="4" t="str">
        <x:v>2.2nF 50V C0G +/-5% MLCC 0805</x:v>
      </x:c>
      <x:c r="N14" s="4" t="str">
        <x:v>同じ2.2nF・50V・C0G・±5%・0805の購入代替。NRND（新規設計非推奨）だが在庫あり。</x:v>
      </x:c>
      <x:c r="O14" s="4" t="n">
        <x:v>142798</x:v>
      </x:c>
      <x:c r="P14" s="4" t="str">
        <x:v>2026-10-17</x:v>
      </x:c>
      <x:c r="Q14" s="4" t="str">
        <x:v>https://www.digikey.jp/ja/products/detail/tdk-corporation/C2012C0G1H222J085AA/513859</x:v>
      </x:c>
    </x:row>
    <x:row r="15" ht="66" customHeight="1">
      <x:c r="A15" s="13" t="str">
        <x:v>C16</x:v>
      </x:c>
      <x:c r="B15" s="13" t="str">
        <x:v>10n</x:v>
      </x:c>
      <x:c r="C15" s="13" t="str">
        <x:v>C0603C103K5RACTU</x:v>
      </x:c>
      <x:c r="D15" s="25" t="n">
        <x:v>1</x:v>
      </x:c>
      <x:c r="E15" s="23" t="n">
        <x:v>2</x:v>
      </x:c>
      <x:c r="F15" s="25" t="n">
        <x:f>E15-D15</x:f>
        <x:v>1</x:v>
      </x:c>
      <x:c r="G15" s="26" t="n">
        <x:v>20</x:v>
      </x:c>
      <x:c r="H15" s="26" t="n">
        <x:f>E15*G15</x:f>
        <x:v>40</x:v>
      </x:c>
      <x:c r="I15" s="13" t="str">
        <x:v>399-C0603C103K5RACTUCT-ND</x:v>
      </x:c>
      <x:c r="J15" s="13" t="str"/>
      <x:c r="K15" s="13" t="str">
        <x:v>C0603C103K5RACTU</x:v>
      </x:c>
      <x:c r="L15" s="13" t="str">
        <x:v>Capacitor_SMD:C_0603_1608Metric</x:v>
      </x:c>
      <x:c r="M15" s="13" t="str">
        <x:v>10nF; 50V; X7R MLCC; +/-10%; 0603 (1608 metric)</x:v>
      </x:c>
      <x:c r="N15" s="13" t="str"/>
      <x:c r="O15" s="13" t="n">
        <x:v>6159561</x:v>
      </x:c>
      <x:c r="P15" s="13" t="str">
        <x:v>2026-10-17</x:v>
      </x:c>
      <x:c r="Q15" s="13" t="str">
        <x:v>https://www.digikey.jp/en/products/detail/kemet/C0603C103K5RACTU/411090</x:v>
      </x:c>
    </x:row>
    <x:row r="16" ht="66" customHeight="1">
      <x:c r="A16" s="4" t="str">
        <x:v>L1</x:v>
      </x:c>
      <x:c r="B16" s="4" t="str">
        <x:v>0.47u</x:v>
      </x:c>
      <x:c r="C16" s="4" t="str">
        <x:v>744355147</x:v>
      </x:c>
      <x:c r="D16" s="22" t="n">
        <x:v>1</x:v>
      </x:c>
      <x:c r="E16" s="23" t="n">
        <x:v>1</x:v>
      </x:c>
      <x:c r="F16" s="22" t="n">
        <x:f>E16-D16</x:f>
        <x:v>0</x:v>
      </x:c>
      <x:c r="G16" s="24" t="n">
        <x:v>570</x:v>
      </x:c>
      <x:c r="H16" s="24" t="n">
        <x:f>E16*G16</x:f>
        <x:v>570</x:v>
      </x:c>
      <x:c r="I16" s="4" t="str">
        <x:v>732-744355147CT-ND</x:v>
      </x:c>
      <x:c r="J16" s="4" t="str"/>
      <x:c r="K16" s="4" t="str">
        <x:v>744355147</x:v>
      </x:c>
      <x:c r="L16" s="4" t="str">
        <x:v>logger_v2_ups:L_Wuerth_HCI-1365</x:v>
      </x:c>
      <x:c r="M16" s="4" t="str">
        <x:v>0.47uH +/-20%; Ir 30A; Isat10% 25A; Isat30% 50A; DCR 0.67mohm; 13x12.8x6.5mm</x:v>
      </x:c>
      <x:c r="N16" s="4" t="str"/>
      <x:c r="O16" s="4" t="n">
        <x:v>5837</x:v>
      </x:c>
      <x:c r="P16" s="4" t="str">
        <x:v>2026-10-17</x:v>
      </x:c>
      <x:c r="Q16" s="4" t="str">
        <x:v>https://www.digikey.jp/en/products/detail/w%C3%BCrth-elektronik/744355147/1638527</x:v>
      </x:c>
    </x:row>
    <x:row r="17" ht="66" customHeight="1">
      <x:c r="A17" s="13" t="str">
        <x:v>R1</x:v>
      </x:c>
      <x:c r="B17" s="13" t="str">
        <x:v>30.1k</x:v>
      </x:c>
      <x:c r="C17" s="13" t="str">
        <x:v>ERJ-6ENF3012V</x:v>
      </x:c>
      <x:c r="D17" s="25" t="n">
        <x:v>1</x:v>
      </x:c>
      <x:c r="E17" s="23" t="n">
        <x:v>2</x:v>
      </x:c>
      <x:c r="F17" s="25" t="n">
        <x:f>E17-D17</x:f>
        <x:v>1</x:v>
      </x:c>
      <x:c r="G17" s="26" t="n">
        <x:v>20</x:v>
      </x:c>
      <x:c r="H17" s="26" t="n">
        <x:f>E17*G17</x:f>
        <x:v>40</x:v>
      </x:c>
      <x:c r="I17" s="13" t="str">
        <x:v>P30.1KCCT-ND</x:v>
      </x:c>
      <x:c r="J17" s="13" t="str"/>
      <x:c r="K17" s="13" t="str">
        <x:v>ERJ-6ENF3012V</x:v>
      </x:c>
      <x:c r="L17" s="13" t="str">
        <x:v>logger_v2_ups:R_0805_2012Metric</x:v>
      </x:c>
      <x:c r="M17" s="13" t="str">
        <x:v>0805; 30.1kOhm; +/-1%; 0.125W</x:v>
      </x:c>
      <x:c r="N17" s="13" t="str">
        <x:v>抵抗値変更</x:v>
      </x:c>
      <x:c r="O17" s="13" t="n">
        <x:v>92300</x:v>
      </x:c>
      <x:c r="P17" s="13" t="str">
        <x:v>2026-10-17</x:v>
      </x:c>
      <x:c r="Q17" s="13" t="str">
        <x:v>https://www.digikey.jp/en/products/detail/panasonic-industry/ERJ-6ENF3012V/111568</x:v>
      </x:c>
    </x:row>
    <x:row r="18" ht="66" customHeight="1">
      <x:c r="A18" s="4" t="str">
        <x:v>R2</x:v>
      </x:c>
      <x:c r="B18" s="4" t="str">
        <x:v>12.1k</x:v>
      </x:c>
      <x:c r="C18" s="4" t="str">
        <x:v>RC0805FR-0712K1L</x:v>
      </x:c>
      <x:c r="D18" s="22" t="n">
        <x:v>1</x:v>
      </x:c>
      <x:c r="E18" s="23" t="n">
        <x:v>10</x:v>
      </x:c>
      <x:c r="F18" s="22" t="n">
        <x:f>E18-D18</x:f>
        <x:v>9</x:v>
      </x:c>
      <x:c r="G18" s="24" t="n">
        <x:v>5.6</x:v>
      </x:c>
      <x:c r="H18" s="24" t="n">
        <x:f>E18*G18</x:f>
        <x:v>56</x:v>
      </x:c>
      <x:c r="I18" s="4" t="str">
        <x:v>311-12.1KCRCT-ND</x:v>
      </x:c>
      <x:c r="J18" s="4" t="str"/>
      <x:c r="K18" s="4" t="str">
        <x:v>RC0805FR-0712K1L</x:v>
      </x:c>
      <x:c r="L18" s="4" t="str">
        <x:v>logger_v2_ups:R_0805_2012Metric</x:v>
      </x:c>
      <x:c r="M18" s="4" t="str">
        <x:v>0805; 12.1kOhm; +/-1%; 0.125W</x:v>
      </x:c>
      <x:c r="N18" s="4" t="str">
        <x:v>抵抗値変更</x:v>
      </x:c>
      <x:c r="O18" s="4" t="n">
        <x:v>1138</x:v>
      </x:c>
      <x:c r="P18" s="4" t="str">
        <x:v>2026-10-17</x:v>
      </x:c>
      <x:c r="Q18" s="4" t="str">
        <x:v>https://www.digikey.jp/en/products/detail/yageo/RC0805FR-0712K1L/730517</x:v>
      </x:c>
    </x:row>
    <x:row r="19" ht="66" customHeight="1">
      <x:c r="A19" s="13" t="str">
        <x:v>R3</x:v>
      </x:c>
      <x:c r="B19" s="13" t="str">
        <x:v>332k</x:v>
      </x:c>
      <x:c r="C19" s="13" t="str">
        <x:v>RC0805FR-07332KL</x:v>
      </x:c>
      <x:c r="D19" s="25" t="n">
        <x:v>1</x:v>
      </x:c>
      <x:c r="E19" s="23" t="n">
        <x:v>10</x:v>
      </x:c>
      <x:c r="F19" s="25" t="n">
        <x:f>E19-D19</x:f>
        <x:v>9</x:v>
      </x:c>
      <x:c r="G19" s="26" t="n">
        <x:v>5.6</x:v>
      </x:c>
      <x:c r="H19" s="26" t="n">
        <x:f>E19*G19</x:f>
        <x:v>56</x:v>
      </x:c>
      <x:c r="I19" s="13" t="str">
        <x:v>311-332KCRCT-ND</x:v>
      </x:c>
      <x:c r="J19" s="13" t="str"/>
      <x:c r="K19" s="13" t="str">
        <x:v>RC0805FR-07332KL</x:v>
      </x:c>
      <x:c r="L19" s="13" t="str">
        <x:v>logger_v2_ups:R_0805_2012Metric</x:v>
      </x:c>
      <x:c r="M19" s="13" t="str">
        <x:v>0805; 332kOhm; +/-1%; 0.125W</x:v>
      </x:c>
      <x:c r="N19" s="13" t="str">
        <x:v>抵抗値変更</x:v>
      </x:c>
      <x:c r="O19" s="13" t="n">
        <x:v>9171</x:v>
      </x:c>
      <x:c r="P19" s="13" t="str">
        <x:v>2026-10-17</x:v>
      </x:c>
      <x:c r="Q19" s="13" t="str">
        <x:v>https://www.digikey.jp/en/products/detail/yageo/RC0805FR-07332KL/727869</x:v>
      </x:c>
    </x:row>
    <x:row r="20" ht="66" customHeight="1">
      <x:c r="A20" s="4" t="str">
        <x:v>R5</x:v>
      </x:c>
      <x:c r="B20" s="4" t="str">
        <x:v>12.4k</x:v>
      </x:c>
      <x:c r="C20" s="4" t="str">
        <x:v>RC0805FR-0712K4L</x:v>
      </x:c>
      <x:c r="D20" s="22" t="n">
        <x:v>1</x:v>
      </x:c>
      <x:c r="E20" s="23" t="n">
        <x:v>10</x:v>
      </x:c>
      <x:c r="F20" s="22" t="n">
        <x:f>E20-D20</x:f>
        <x:v>9</x:v>
      </x:c>
      <x:c r="G20" s="24" t="n">
        <x:v>5.6</x:v>
      </x:c>
      <x:c r="H20" s="24" t="n">
        <x:f>E20*G20</x:f>
        <x:v>56</x:v>
      </x:c>
      <x:c r="I20" s="4" t="str">
        <x:v>311-12.4KCRCT-ND</x:v>
      </x:c>
      <x:c r="J20" s="4" t="str"/>
      <x:c r="K20" s="4" t="str">
        <x:v>RC0805FR-0712K4L</x:v>
      </x:c>
      <x:c r="L20" s="4" t="str">
        <x:v>logger_v2_ups:R_0805_2012Metric</x:v>
      </x:c>
      <x:c r="M20" s="4" t="str">
        <x:v>0805; 12.4kOhm; +/-1%; 0.125W</x:v>
      </x:c>
      <x:c r="N20" s="4" t="str">
        <x:v>抵抗値変更</x:v>
      </x:c>
      <x:c r="O20" s="4" t="n">
        <x:v>16359</x:v>
      </x:c>
      <x:c r="P20" s="4" t="str">
        <x:v>2026-10-17</x:v>
      </x:c>
      <x:c r="Q20" s="4" t="str">
        <x:v>https://www.digikey.jp/en/products/detail/yageo/RC0805FR-0712K4L/727572</x:v>
      </x:c>
    </x:row>
    <x:row r="21" ht="66" customHeight="1">
      <x:c r="A21" s="13" t="str">
        <x:v>R7</x:v>
      </x:c>
      <x:c r="B21" s="13" t="str">
        <x:v>49.9k</x:v>
      </x:c>
      <x:c r="C21" s="13" t="str">
        <x:v>RC0805FR-0749K9L</x:v>
      </x:c>
      <x:c r="D21" s="25" t="n">
        <x:v>1</x:v>
      </x:c>
      <x:c r="E21" s="23" t="n">
        <x:v>10</x:v>
      </x:c>
      <x:c r="F21" s="25" t="n">
        <x:f>E21-D21</x:f>
        <x:v>9</x:v>
      </x:c>
      <x:c r="G21" s="26" t="n">
        <x:v>5.6</x:v>
      </x:c>
      <x:c r="H21" s="26" t="n">
        <x:f>E21*G21</x:f>
        <x:v>56</x:v>
      </x:c>
      <x:c r="I21" s="13" t="str">
        <x:v>311-49.9KCRCT-ND</x:v>
      </x:c>
      <x:c r="J21" s="13" t="str"/>
      <x:c r="K21" s="13" t="str">
        <x:v>RC0805FR-0749K9L</x:v>
      </x:c>
      <x:c r="L21" s="13" t="str">
        <x:v>logger_v2_ups:R_0805_2012Metric</x:v>
      </x:c>
      <x:c r="M21" s="13" t="str">
        <x:v>0805; 49.9kOhm; +/-1%; 0.125W</x:v>
      </x:c>
      <x:c r="N21" s="13" t="str">
        <x:v>抵抗値変更</x:v>
      </x:c>
      <x:c r="O21" s="13" t="n">
        <x:v>898110</x:v>
      </x:c>
      <x:c r="P21" s="13" t="str">
        <x:v>2026-10-17</x:v>
      </x:c>
      <x:c r="Q21" s="13" t="str">
        <x:v>https://www.digikey.jp/en/products/detail/yageo/RC0805FR-0749K9L/730932</x:v>
      </x:c>
    </x:row>
    <x:row r="22" ht="66" customHeight="1">
      <x:c r="A22" s="4" t="str">
        <x:v>R8</x:v>
      </x:c>
      <x:c r="B22" s="4" t="str">
        <x:v>25.5k</x:v>
      </x:c>
      <x:c r="C22" s="4" t="str">
        <x:v>RC0603FR-0725K5L</x:v>
      </x:c>
      <x:c r="D22" s="22" t="n">
        <x:v>1</x:v>
      </x:c>
      <x:c r="E22" s="23" t="n">
        <x:v>10</x:v>
      </x:c>
      <x:c r="F22" s="22" t="n">
        <x:f>E22-D22</x:f>
        <x:v>9</x:v>
      </x:c>
      <x:c r="G22" s="24" t="n">
        <x:v>4.1</x:v>
      </x:c>
      <x:c r="H22" s="24" t="n">
        <x:f>E22*G22</x:f>
        <x:v>41</x:v>
      </x:c>
      <x:c r="I22" s="4" t="str">
        <x:v>311-25.5KHRCT-ND</x:v>
      </x:c>
      <x:c r="J22" s="4" t="str"/>
      <x:c r="K22" s="4" t="str">
        <x:v>RC0603FR-0725K5L</x:v>
      </x:c>
      <x:c r="L22" s="4" t="str">
        <x:v>Resistor_SMD:R_0603_1608Metric</x:v>
      </x:c>
      <x:c r="M22" s="4" t="str">
        <x:v>0603 (1608 metric); 0.1W; +/-1%; 75V maximum working voltage; -55..155C</x:v>
      </x:c>
      <x:c r="N22" s="4" t="str"/>
      <x:c r="O22" s="4" t="n">
        <x:v>110999</x:v>
      </x:c>
      <x:c r="P22" s="4" t="str">
        <x:v>2026-10-17</x:v>
      </x:c>
      <x:c r="Q22" s="4" t="str">
        <x:v>https://www.digikey.jp/en/products/detail/yageo/RC0603FR-0725K5L/727088</x:v>
      </x:c>
    </x:row>
    <x:row r="23" ht="66" customHeight="1">
      <x:c r="A23" s="13" t="str">
        <x:v>R9</x:v>
      </x:c>
      <x:c r="B23" s="13" t="str">
        <x:v>2.74M</x:v>
      </x:c>
      <x:c r="C23" s="13" t="str">
        <x:v>RC0603FR-072M74L</x:v>
      </x:c>
      <x:c r="D23" s="25" t="n">
        <x:v>1</x:v>
      </x:c>
      <x:c r="E23" s="23" t="n">
        <x:v>10</x:v>
      </x:c>
      <x:c r="F23" s="25" t="n">
        <x:f>E23-D23</x:f>
        <x:v>9</x:v>
      </x:c>
      <x:c r="G23" s="26" t="n">
        <x:v>4.1</x:v>
      </x:c>
      <x:c r="H23" s="26" t="n">
        <x:f>E23*G23</x:f>
        <x:v>41</x:v>
      </x:c>
      <x:c r="I23" s="13" t="str">
        <x:v>13-RC0603FR-072M74LCT-ND</x:v>
      </x:c>
      <x:c r="J23" s="13" t="str"/>
      <x:c r="K23" s="13" t="str">
        <x:v>RC0603FR-072M74L</x:v>
      </x:c>
      <x:c r="L23" s="13" t="str">
        <x:v>Resistor_SMD:R_0603_1608Metric</x:v>
      </x:c>
      <x:c r="M23" s="13" t="str">
        <x:v>0603; 2.74MOhm; +/-1%; 0.1W</x:v>
      </x:c>
      <x:c r="N23" s="13" t="str">
        <x:v>抵抗値変更</x:v>
      </x:c>
      <x:c r="O23" s="13" t="n">
        <x:v>7807</x:v>
      </x:c>
      <x:c r="P23" s="13" t="str">
        <x:v>2026-10-17</x:v>
      </x:c>
      <x:c r="Q23" s="13" t="str">
        <x:v>https://www.digikey.jp/en/products/detail/yageo/RC0603FR-072M74L/12707882</x:v>
      </x:c>
    </x:row>
    <x:row r="24" ht="66" customHeight="1">
      <x:c r="A24" s="4" t="str">
        <x:v>R10, R13</x:v>
      </x:c>
      <x:c r="B24" s="4" t="str">
        <x:v>100k</x:v>
      </x:c>
      <x:c r="C24" s="4" t="str">
        <x:v>RC0603FR-10100KL</x:v>
      </x:c>
      <x:c r="D24" s="22" t="n">
        <x:v>2</x:v>
      </x:c>
      <x:c r="E24" s="23" t="n">
        <x:v>10</x:v>
      </x:c>
      <x:c r="F24" s="22" t="n">
        <x:f>E24-D24</x:f>
        <x:v>8</x:v>
      </x:c>
      <x:c r="G24" s="24" t="n">
        <x:v>4.1</x:v>
      </x:c>
      <x:c r="H24" s="24" t="n">
        <x:f>E24*G24</x:f>
        <x:v>41</x:v>
      </x:c>
      <x:c r="I24" s="4" t="str">
        <x:v>13-RC0603FR-10100KLCT-ND</x:v>
      </x:c>
      <x:c r="J24" s="4" t="str"/>
      <x:c r="K24" s="4" t="str">
        <x:v>RC0603FR-07100KL</x:v>
      </x:c>
      <x:c r="L24" s="4" t="str">
        <x:v>Resistor_SMD:R_0603_1608Metric</x:v>
      </x:c>
      <x:c r="M24" s="4" t="str">
        <x:v>0603 (1608 metric); 0.1W; +/-1%; 75V maximum working voltage; -55..155C</x:v>
      </x:c>
      <x:c r="N24" s="4" t="str">
        <x:v>元の-07包装は欠品。同じ100kΩ・1%・0603・0.1Wの-10包装をカットテープ購入。</x:v>
      </x:c>
      <x:c r="O24" s="4" t="n">
        <x:v>133013</x:v>
      </x:c>
      <x:c r="P24" s="4" t="str">
        <x:v>2026-10-17</x:v>
      </x:c>
      <x:c r="Q24" s="4" t="str">
        <x:v>https://www.digikey.jp/en/products/detail/yageo/RC0603FR-10100KL/13694231</x:v>
      </x:c>
    </x:row>
    <x:row r="25" ht="66" customHeight="1">
      <x:c r="A25" s="13" t="str">
        <x:v>R11, R12</x:v>
      </x:c>
      <x:c r="B25" s="13" t="str">
        <x:v>1M</x:v>
      </x:c>
      <x:c r="C25" s="13" t="str">
        <x:v>RC0603FR-071ML</x:v>
      </x:c>
      <x:c r="D25" s="25" t="n">
        <x:v>2</x:v>
      </x:c>
      <x:c r="E25" s="23" t="n">
        <x:v>10</x:v>
      </x:c>
      <x:c r="F25" s="25" t="n">
        <x:f>E25-D25</x:f>
        <x:v>8</x:v>
      </x:c>
      <x:c r="G25" s="26" t="n">
        <x:v>4.1</x:v>
      </x:c>
      <x:c r="H25" s="26" t="n">
        <x:f>E25*G25</x:f>
        <x:v>41</x:v>
      </x:c>
      <x:c r="I25" s="13" t="str">
        <x:v>311-1.00MHRCT-ND</x:v>
      </x:c>
      <x:c r="J25" s="13" t="str"/>
      <x:c r="K25" s="13" t="str">
        <x:v>RC0603FR-071ML</x:v>
      </x:c>
      <x:c r="L25" s="13" t="str">
        <x:v>Resistor_SMD:R_0603_1608Metric</x:v>
      </x:c>
      <x:c r="M25" s="13" t="str">
        <x:v>0603 (1608 metric); 0.1W; +/-1%; 75V maximum working voltage; -55..155C</x:v>
      </x:c>
      <x:c r="N25" s="13" t="str"/>
      <x:c r="O25" s="13" t="n">
        <x:v>2031100</x:v>
      </x:c>
      <x:c r="P25" s="13" t="str">
        <x:v>2026-10-17</x:v>
      </x:c>
      <x:c r="Q25" s="13" t="str">
        <x:v>https://www.digikey.jp/en/products/detail/yageo/RC0603FR-071ML/726844</x:v>
      </x:c>
    </x:row>
    <x:row r="26" ht="66" customHeight="1">
      <x:c r="A26" s="4" t="str">
        <x:v>R14</x:v>
      </x:c>
      <x:c r="B26" s="4" t="str">
        <x:v>10k</x:v>
      </x:c>
      <x:c r="C26" s="4" t="str">
        <x:v>ERJ-3EKF1002V</x:v>
      </x:c>
      <x:c r="D26" s="22" t="n">
        <x:v>1</x:v>
      </x:c>
      <x:c r="E26" s="23" t="n">
        <x:v>3</x:v>
      </x:c>
      <x:c r="F26" s="22" t="n">
        <x:f>E26-D26</x:f>
        <x:v>2</x:v>
      </x:c>
      <x:c r="G26" s="24" t="n">
        <x:v>16</x:v>
      </x:c>
      <x:c r="H26" s="24" t="n">
        <x:f>E26*G26</x:f>
        <x:v>48</x:v>
      </x:c>
      <x:c r="I26" s="4" t="str">
        <x:v>P10.0KHCT-ND</x:v>
      </x:c>
      <x:c r="J26" s="4" t="str"/>
      <x:c r="K26" s="4" t="str">
        <x:v>ERJ-3EKF1002V</x:v>
      </x:c>
      <x:c r="L26" s="4" t="str">
        <x:v>Resistor_SMD:R_0603_1608Metric</x:v>
      </x:c>
      <x:c r="M26" s="4" t="str">
        <x:v>0603; 10kOhm; +/-1%; 0.1W</x:v>
      </x:c>
      <x:c r="N26" s="4" t="str">
        <x:v>誤登録の100kΩ品を修正</x:v>
      </x:c>
      <x:c r="O26" s="4" t="n">
        <x:v>2135987</x:v>
      </x:c>
      <x:c r="P26" s="4" t="str">
        <x:v>2026-10-17</x:v>
      </x:c>
      <x:c r="Q26" s="4" t="str">
        <x:v>https://www.digikey.jp/en/products/detail/panasonic-industry/ERJ-3EKF1002V/198102</x:v>
      </x:c>
    </x:row>
    <x:row r="27" ht="66" customHeight="1">
      <x:c r="A27" s="13" t="str">
        <x:v>R15</x:v>
      </x:c>
      <x:c r="B27" s="13" t="str">
        <x:v>2.37M</x:v>
      </x:c>
      <x:c r="C27" s="13" t="str">
        <x:v>RC0603FR-072M37L</x:v>
      </x:c>
      <x:c r="D27" s="25" t="n">
        <x:v>1</x:v>
      </x:c>
      <x:c r="E27" s="23" t="n">
        <x:v>10</x:v>
      </x:c>
      <x:c r="F27" s="25" t="n">
        <x:f>E27-D27</x:f>
        <x:v>9</x:v>
      </x:c>
      <x:c r="G27" s="26" t="n">
        <x:v>4.1</x:v>
      </x:c>
      <x:c r="H27" s="26" t="n">
        <x:f>E27*G27</x:f>
        <x:v>41</x:v>
      </x:c>
      <x:c r="I27" s="13" t="str">
        <x:v>13-RC0603FR-072M37LCT-ND</x:v>
      </x:c>
      <x:c r="J27" s="13" t="str"/>
      <x:c r="K27" s="13" t="str">
        <x:v>RC0603FR-072M37L</x:v>
      </x:c>
      <x:c r="L27" s="13" t="str">
        <x:v>Resistor_SMD:R_0603_1608Metric</x:v>
      </x:c>
      <x:c r="M27" s="13" t="str">
        <x:v>0603; 2.37MOhm; +/-1%; 0.1W</x:v>
      </x:c>
      <x:c r="N27" s="13" t="str">
        <x:v>誤登録の100kΩ品を修正</x:v>
      </x:c>
      <x:c r="O27" s="13" t="n">
        <x:v>7582</x:v>
      </x:c>
      <x:c r="P27" s="13" t="str">
        <x:v>2026-10-17</x:v>
      </x:c>
      <x:c r="Q27" s="13" t="str">
        <x:v>https://www.digikey.jp/en/products/detail/yageo/RC0603FR-072M37L/5918308</x:v>
      </x:c>
    </x:row>
    <x:row r="28" ht="66" customHeight="1">
      <x:c r="A28" s="4" t="str">
        <x:v>U1</x:v>
      </x:c>
      <x:c r="B28" s="4" t="str">
        <x:v>電源IC</x:v>
      </x:c>
      <x:c r="C28" s="4" t="str">
        <x:v>MAX38890AATE+</x:v>
      </x:c>
      <x:c r="D28" s="22" t="n">
        <x:v>1</x:v>
      </x:c>
      <x:c r="E28" s="23" t="n">
        <x:v>1</x:v>
      </x:c>
      <x:c r="F28" s="22" t="n">
        <x:f>E28-D28</x:f>
        <x:v>0</x:v>
      </x:c>
      <x:c r="G28" s="24" t="n">
        <x:v>1412</x:v>
      </x:c>
      <x:c r="H28" s="24" t="n">
        <x:f>E28*G28</x:f>
        <x:v>1412</x:v>
      </x:c>
      <x:c r="I28" s="4" t="str">
        <x:v>505-MAX38890AATE+-ND</x:v>
      </x:c>
      <x:c r="J28" s="4" t="str"/>
      <x:c r="K28" s="4" t="str">
        <x:v>MAX38890AATE+</x:v>
      </x:c>
      <x:c r="L28" s="4" t="str">
        <x:v>logger_v2_ups:TQFN-16-1EP_3x3mm_P0.5mm_EP1.23x1.23mm</x:v>
      </x:c>
      <x:c r="M28" s="4" t="str">
        <x:v>VSYS 2.5..5.5V; peak inductor current 1..5A; -40..125C</x:v>
      </x:c>
      <x:c r="N28" s="4" t="str"/>
      <x:c r="O28" s="4" t="n">
        <x:v>2405</x:v>
      </x:c>
      <x:c r="P28" s="4" t="str">
        <x:v>2026-10-17</x:v>
      </x:c>
      <x:c r="Q28" s="4" t="str">
        <x:v>https://www.digikey.jp/ja/products/detail/analog-devices-inc-maxim-integrated/MAX38890AATE/18693138</x:v>
      </x:c>
    </x:row>
    <x:row r="29" ht="66" customHeight="1">
      <x:c r="A29" s="13" t="str">
        <x:v>U2</x:v>
      </x:c>
      <x:c r="B29" s="13" t="str">
        <x:v>比較器</x:v>
      </x:c>
      <x:c r="C29" s="13" t="str">
        <x:v>LTC1440IMS8#TRPBF</x:v>
      </x:c>
      <x:c r="D29" s="25" t="n">
        <x:v>1</x:v>
      </x:c>
      <x:c r="E29" s="23" t="n">
        <x:v>1</x:v>
      </x:c>
      <x:c r="F29" s="25" t="n">
        <x:f>E29-D29</x:f>
        <x:v>0</x:v>
      </x:c>
      <x:c r="G29" s="26" t="n">
        <x:v>1178</x:v>
      </x:c>
      <x:c r="H29" s="26" t="n">
        <x:f>E29*G29</x:f>
        <x:v>1178</x:v>
      </x:c>
      <x:c r="I29" s="13" t="str">
        <x:v>LTC1440IMS8#TRPBFCT-ND</x:v>
      </x:c>
      <x:c r="J29" s="13" t="str"/>
      <x:c r="K29" s="13" t="str">
        <x:v>LTC1440IMS8#TRPBF</x:v>
      </x:c>
      <x:c r="L29" s="13" t="str">
        <x:v>Package_SO:MSOP-8_3x3mm_P0.65mm</x:v>
      </x:c>
      <x:c r="M29" s="13" t="str">
        <x:v>Comparator with 1.182V reference; MSOP-8 3x3mm P0.65mm; 2..11V supply</x:v>
      </x:c>
      <x:c r="N29" s="13" t="str">
        <x:v>DigiKey注文番号を補完</x:v>
      </x:c>
      <x:c r="O29" s="13" t="n">
        <x:v>348</x:v>
      </x:c>
      <x:c r="P29" s="13" t="str">
        <x:v>2026-10-17</x:v>
      </x:c>
      <x:c r="Q29" s="13" t="str">
        <x:v>https://www.digikey.jp/en/products/detail/analog-devices-inc/LTC1440IMS8-TRPBF/1621572</x:v>
      </x:c>
    </x:row>
    <x:row r="30">
      <x:c r="A30" s="29" t="str">
        <x:v>合計</x:v>
      </x:c>
      <x:c r="B30" s="29"/>
      <x:c r="C30" s="29"/>
      <x:c r="D30" s="30" t="n">
        <x:f>SUM(D10:D29)</x:f>
        <x:v>30</x:v>
      </x:c>
      <x:c r="E30" s="30" t="n">
        <x:f>SUM(E10:E29)</x:f>
        <x:v>115</x:v>
      </x:c>
      <x:c r="F30" s="30" t="n">
        <x:f>SUM(F10:F29)</x:f>
        <x:v>85</x:v>
      </x:c>
      <x:c r="G30" s="31"/>
      <x:c r="H30" s="31" t="n">
        <x:f>SUM(H10:H29)</x:f>
        <x:v>6014</x:v>
      </x:c>
      <x:c r="I30" s="29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4" t="str">
        <x:v>抵抗は原則10個。予算調整のためR1は2個、R14は3個。C5・C10・C16は各2個（各1個予備）。</x:v>
      </x:c>
      <x:c r="B32" s="4"/>
      <x:c r="C32" s="4"/>
      <x:c r="D32" s="4"/>
      <x:c r="E32" s="4"/>
      <x:c r="F32" s="4"/>
      <x:c r="G32" s="4"/>
      <x:c r="H32" s="4"/>
      <x:c r="I32" s="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4" t="str">
        <x:v>C5は秋月115331の秋葉原在庫0のため村田製を採用。C10は安価なTDK製。R10/R13は在庫のある包装違い。</x:v>
      </x:c>
      <x:c r="B33" s="4"/>
      <x:c r="C33" s="4"/>
      <x:c r="D33" s="4"/>
      <x:c r="E33" s="4"/>
      <x:c r="F33" s="4"/>
      <x:c r="G33" s="4"/>
      <x:c r="H33" s="4"/>
      <x:c r="I33" s="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4" t="str">
        <x:v>7Fスーパーキャパシタは6個。2直列×3並列で公称10.5F。保持時間・今回の代替品の実機動作は未確認。</x:v>
      </x:c>
      <x:c r="B34" s="4"/>
      <x:c r="C34" s="4"/>
      <x:c r="D34" s="4"/>
      <x:c r="E34" s="4"/>
      <x:c r="F34" s="4"/>
      <x:c r="G34" s="4"/>
      <x:c r="H34" s="4"/>
      <x:c r="I34" s="4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" t="str">
        <x:v>代替品は現行設計MPNと分けて記載。今回の購入リスト作成では回路図・PCBは変更していません。</x:v>
      </x:c>
      <x:c r="B35" s="4"/>
      <x:c r="C35" s="4"/>
      <x:c r="D35" s="4"/>
      <x:c r="E35" s="4"/>
      <x:c r="F35" s="4"/>
      <x:c r="G35" s="4"/>
      <x:c r="H35" s="4"/>
      <x:c r="I35" s="4"/>
      <x:c r="J35" s="1"/>
      <x:c r="K35" s="1"/>
      <x:c r="L35" s="1"/>
      <x:c r="M35" s="1"/>
      <x:c r="N35" s="1"/>
      <x:c r="O35" s="1"/>
      <x:c r="P35" s="1"/>
      <x:c r="Q35" s="1"/>
    </x:row>
    <x:row r="36" ht="28" customHeight="1">
      <x:c r="A36" s="4" t="str">
        <x:v>対象は基板1枚の実装部品40点。基板製造費、UNO Q本体、配線材、取付ねじ、工具は含みません。</x:v>
      </x:c>
      <x:c r="B36" s="4"/>
      <x:c r="C36" s="4"/>
      <x:c r="D36" s="4"/>
      <x:c r="E36" s="4"/>
      <x:c r="F36" s="4"/>
      <x:c r="G36" s="4"/>
      <x:c r="H36" s="4"/>
      <x:c r="I36" s="4"/>
      <x:c r="J36" s="1"/>
      <x:c r="K36" s="1"/>
      <x:c r="L36" s="1"/>
      <x:c r="M36" s="1"/>
      <x:c r="N36" s="1"/>
      <x:c r="O36" s="1"/>
      <x:c r="P36" s="1"/>
      <x:c r="Q36" s="1"/>
    </x:row>
    <x:row r="37" ht="28" customHeight="1">
      <x:c r="A37" s="4" t="str">
        <x:v>送料無料条件：DigiKey出荷の商品小計6,000円以上。価格変動で下回る場合は注文前に再調整してください。</x:v>
      </x:c>
      <x:c r="B37" s="4"/>
      <x:c r="C37" s="4"/>
      <x:c r="D37" s="4"/>
      <x:c r="E37" s="4"/>
      <x:c r="F37" s="4"/>
      <x:c r="G37" s="4"/>
      <x:c r="H37" s="4"/>
      <x:c r="I37" s="4"/>
      <x:c r="J37" s="1"/>
      <x:c r="K37" s="1" t="str">
        <x:v>送料出典：https://www.digikey.jp/ja/help-support/delivery-information/delivery-time-and-cost</x:v>
      </x:c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I2"/>
    <x:mergeCell ref="A3:I3"/>
    <x:mergeCell ref="A5:I5"/>
    <x:mergeCell ref="A6:I6"/>
    <x:mergeCell ref="A7:I7"/>
    <x:mergeCell ref="A32:I32"/>
    <x:mergeCell ref="A33:I33"/>
    <x:mergeCell ref="A34:I34"/>
    <x:mergeCell ref="A35:I35"/>
    <x:mergeCell ref="A36:I36"/>
    <x:mergeCell ref="A37:I37"/>
    <x:mergeCell ref="K37:Q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20" hidden="0" customWidth="1"/>
    <x:col min="2" max="2" width="27" hidden="0" customWidth="1"/>
    <x:col min="3" max="3" width="12" hidden="0" customWidth="1"/>
    <x:col min="4" max="4" width="12" hidden="0" customWidth="1"/>
    <x:col min="5" max="5" width="11" hidden="0" customWidth="1"/>
    <x:col min="6" max="6" width="10" hidden="0" customWidth="1"/>
    <x:col min="7" max="7" width="12" hidden="0" customWidth="1"/>
    <x:col min="8" max="8" width="13" hidden="0" customWidth="1"/>
    <x:col min="9" max="9" width="10" hidden="0" customWidth="1"/>
    <x:col min="10" max="10" width="14" hidden="0" customWidth="1"/>
    <x:col min="11" max="11" width="30" hidden="0" customWidth="1"/>
    <x:col min="12" max="12" width="5" hidden="0" customWidth="1"/>
    <x:col min="13" max="13" width="33" hidden="0" customWidth="1"/>
    <x:col min="14" max="14" width="35" hidden="0" customWidth="1"/>
    <x:col min="15" max="15" width="51" hidden="0" customWidth="1"/>
    <x:col min="16" max="16" width="68" hidden="0" customWidth="1"/>
    <x:col min="17" max="17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2" t="str">
        <x:v>UNO Q UPS｜秋葉原店頭 買い物リスト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4" t="str">
        <x:v>7種類・必要10個・購入89個。販売コードと購入単位をそのまま店頭で確認できます。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</x:row>
    <x:row r="4" ht="32" customHeight="1">
      <x:c r="A4" s="1" t="str">
        <x:v>秋月 合計（税込）</x:v>
      </x:c>
      <x:c r="B4" s="1"/>
      <x:c r="C4" s="1"/>
      <x:c r="D4" s="1"/>
      <x:c r="E4" s="1"/>
      <x:c r="F4" s="1"/>
      <x:c r="G4" s="1"/>
      <x:c r="H4" s="33" t="n">
        <x:f>SUM(H10:H16)</x:f>
        <x:v>745</x:v>
      </x:c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4" t="str">
        <x:v>2026-10-17の秋葉原店表示在庫を確認。通販在庫ではなく、店頭在庫と売り場を記載。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1"/>
      <x:c r="M5" s="1"/>
      <x:c r="N5" s="1"/>
      <x:c r="O5" s="1"/>
      <x:c r="P5" s="1"/>
      <x:c r="Q5" s="1"/>
    </x:row>
    <x:row r="6" ht="28" customHeight="1">
      <x:c r="A6" s="4" t="str">
        <x:v>購入する数はD列。ソケットは計4個、残り4商品は各1袋です。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1"/>
      <x:c r="M6" s="1"/>
      <x:c r="N6" s="1"/>
      <x:c r="O6" s="1"/>
      <x:c r="P6" s="1"/>
      <x:c r="Q6" s="1"/>
    </x:row>
    <x:row r="7" ht="28" customHeight="1">
      <x:c r="A7" s="4" t="str">
        <x:v>在庫は変動します。2N7002Kと0.47µFは確認時に各3袋。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8" customHeight="1">
      <x:c r="A9" s="12" t="str">
        <x:v>部品番号</x:v>
      </x:c>
      <x:c r="B9" s="12" t="str">
        <x:v>商品</x:v>
      </x:c>
      <x:c r="C9" s="12" t="str">
        <x:v>販売コード</x:v>
      </x:c>
      <x:c r="D9" s="12" t="str">
        <x:v>買う数
個 / 袋</x:v>
      </x:c>
      <x:c r="E9" s="12" t="str">
        <x:v>入数
個/単位</x:v>
      </x:c>
      <x:c r="F9" s="12" t="str">
        <x:v>必要数</x:v>
      </x:c>
      <x:c r="G9" s="12" t="str">
        <x:v>予備
個</x:v>
      </x:c>
      <x:c r="H9" s="12" t="str">
        <x:v>小計
税込円</x:v>
      </x:c>
      <x:c r="I9" s="12" t="str">
        <x:v>単価
税込円</x:v>
      </x:c>
      <x:c r="J9" s="12" t="str">
        <x:v>秋葉原在庫
販売単位</x:v>
      </x:c>
      <x:c r="K9" s="12" t="str">
        <x:v>売り場</x:v>
      </x:c>
      <x:c r="L9" s="12" t="str"/>
      <x:c r="M9" s="12" t="str">
        <x:v>購入メーカー型番</x:v>
      </x:c>
      <x:c r="N9" s="12" t="str">
        <x:v>現行設計MPN</x:v>
      </x:c>
      <x:c r="O9" s="12" t="str">
        <x:v>フットプリント</x:v>
      </x:c>
      <x:c r="P9" s="12" t="str">
        <x:v>仕様・代替内容</x:v>
      </x:c>
      <x:c r="Q9" s="12" t="str">
        <x:v>商品ページ / 価格・在庫出典</x:v>
      </x:c>
    </x:row>
    <x:row r="10" ht="72" customHeight="1">
      <x:c r="A10" s="4" t="str">
        <x:v>J1</x:v>
      </x:c>
      <x:c r="B10" s="4" t="str">
        <x:v>10P メスピンソケット</x:v>
      </x:c>
      <x:c r="C10" s="4" t="str">
        <x:v>103786</x:v>
      </x:c>
      <x:c r="D10" s="34" t="str">
        <x:v>1個</x:v>
      </x:c>
      <x:c r="E10" s="35" t="n">
        <x:v>1</x:v>
      </x:c>
      <x:c r="F10" s="35" t="n">
        <x:v>1</x:v>
      </x:c>
      <x:c r="G10" s="35" t="n">
        <x:f>E10*1-F10</x:f>
        <x:v>0</x:v>
      </x:c>
      <x:c r="H10" s="38" t="n">
        <x:f>I10*1</x:f>
        <x:v>40</x:v>
      </x:c>
      <x:c r="I10" s="38" t="n">
        <x:v>40</x:v>
      </x:c>
      <x:c r="J10" s="35" t="str">
        <x:v>85個</x:v>
      </x:c>
      <x:c r="K10" s="4" t="str">
        <x:v>1F 13番 下段引出</x:v>
      </x:c>
      <x:c r="L10" s="4" t="str"/>
      <x:c r="M10" s="4" t="str">
        <x:v>FH-1x10SG/RH</x:v>
      </x:c>
      <x:c r="N10" s="4" t="str">
        <x:v>SSW-110-01-T-S</x:v>
      </x:c>
      <x:c r="O10" s="4" t="str">
        <x:v>logger_v2_ups:PinSocket_1x10_P2.54mm_Vertical</x:v>
      </x:c>
      <x:c r="P10" s="4" t="str">
        <x:v>2.54mm・高さ8.5mm・接点3A。旧Samtecは4.7A。</x:v>
      </x:c>
      <x:c r="Q10" s="4" t="str">
        <x:v>https://akizukidenshi.com/catalog/g/g103786/</x:v>
      </x:c>
    </x:row>
    <x:row r="11" ht="72" customHeight="1">
      <x:c r="A11" s="13" t="str">
        <x:v>J2, J4</x:v>
      </x:c>
      <x:c r="B11" s="13" t="str">
        <x:v>8P メスピンソケット</x:v>
      </x:c>
      <x:c r="C11" s="13" t="str">
        <x:v>103785</x:v>
      </x:c>
      <x:c r="D11" s="34" t="str">
        <x:v>2個</x:v>
      </x:c>
      <x:c r="E11" s="36" t="n">
        <x:v>1</x:v>
      </x:c>
      <x:c r="F11" s="36" t="n">
        <x:v>2</x:v>
      </x:c>
      <x:c r="G11" s="36" t="n">
        <x:f>E11*2-F11</x:f>
        <x:v>0</x:v>
      </x:c>
      <x:c r="H11" s="39" t="n">
        <x:f>I11*2</x:f>
        <x:v>60</x:v>
      </x:c>
      <x:c r="I11" s="39" t="n">
        <x:v>30</x:v>
      </x:c>
      <x:c r="J11" s="36" t="str">
        <x:v>35個</x:v>
      </x:c>
      <x:c r="K11" s="13" t="str">
        <x:v>1F 13番 下段引出</x:v>
      </x:c>
      <x:c r="L11" s="13" t="str"/>
      <x:c r="M11" s="13" t="str">
        <x:v>FH-1x8SG/RH</x:v>
      </x:c>
      <x:c r="N11" s="13" t="str">
        <x:v>SSW-108-01-T-S</x:v>
      </x:c>
      <x:c r="O11" s="13" t="str">
        <x:v>logger_v2_ups:PinSocket_1x08_P2.54mm_Vertical</x:v>
      </x:c>
      <x:c r="P11" s="13" t="str">
        <x:v>2.54mm・高さ8.5mm・接点3A。旧Samtecは4.7A。</x:v>
      </x:c>
      <x:c r="Q11" s="13" t="str">
        <x:v>https://akizukidenshi.com/catalog/g/g103785/</x:v>
      </x:c>
    </x:row>
    <x:row r="12" ht="72" customHeight="1">
      <x:c r="A12" s="4" t="str">
        <x:v>J3</x:v>
      </x:c>
      <x:c r="B12" s="4" t="str">
        <x:v>6P メスピンソケット</x:v>
      </x:c>
      <x:c r="C12" s="4" t="str">
        <x:v>103784</x:v>
      </x:c>
      <x:c r="D12" s="34" t="str">
        <x:v>1個</x:v>
      </x:c>
      <x:c r="E12" s="35" t="n">
        <x:v>1</x:v>
      </x:c>
      <x:c r="F12" s="35" t="n">
        <x:v>1</x:v>
      </x:c>
      <x:c r="G12" s="35" t="n">
        <x:f>E12*1-F12</x:f>
        <x:v>0</x:v>
      </x:c>
      <x:c r="H12" s="38" t="n">
        <x:f>I12*1</x:f>
        <x:v>25</x:v>
      </x:c>
      <x:c r="I12" s="38" t="n">
        <x:v>25</x:v>
      </x:c>
      <x:c r="J12" s="35" t="str">
        <x:v>53個</x:v>
      </x:c>
      <x:c r="K12" s="4" t="str">
        <x:v>1F 13番 下段引出</x:v>
      </x:c>
      <x:c r="L12" s="4" t="str"/>
      <x:c r="M12" s="4" t="str">
        <x:v>FH-1x6SG/RH</x:v>
      </x:c>
      <x:c r="N12" s="4" t="str">
        <x:v>SSW-106-01-T-S</x:v>
      </x:c>
      <x:c r="O12" s="4" t="str">
        <x:v>logger_v2_ups:PinSocket_1x06_P2.54mm_Vertical</x:v>
      </x:c>
      <x:c r="P12" s="4" t="str">
        <x:v>2.54mm・高さ8.5mm・接点3A。旧Samtecは4.7A。</x:v>
      </x:c>
      <x:c r="Q12" s="4" t="str">
        <x:v>https://akizukidenshi.com/catalog/g/g103784/</x:v>
      </x:c>
    </x:row>
    <x:row r="13" ht="72" customHeight="1">
      <x:c r="A13" s="13" t="str">
        <x:v>Q1, Q2</x:v>
      </x:c>
      <x:c r="B13" s="13" t="str">
        <x:v>Nch MOSFET</x:v>
      </x:c>
      <x:c r="C13" s="13" t="str">
        <x:v>104256</x:v>
      </x:c>
      <x:c r="D13" s="34" t="str">
        <x:v>1袋</x:v>
      </x:c>
      <x:c r="E13" s="36" t="n">
        <x:v>40</x:v>
      </x:c>
      <x:c r="F13" s="36" t="n">
        <x:v>2</x:v>
      </x:c>
      <x:c r="G13" s="36" t="n">
        <x:f>E13*1-F13</x:f>
        <x:v>38</x:v>
      </x:c>
      <x:c r="H13" s="39" t="n">
        <x:f>I13*1</x:f>
        <x:v>200</x:v>
      </x:c>
      <x:c r="I13" s="39" t="n">
        <x:v>200</x:v>
      </x:c>
      <x:c r="J13" s="36" t="str">
        <x:v>3袋</x:v>
      </x:c>
      <x:c r="K13" s="13" t="str">
        <x:v>1F 36番 2段目</x:v>
      </x:c>
      <x:c r="L13" s="13" t="str"/>
      <x:c r="M13" s="13" t="str">
        <x:v>2N7002K</x:v>
      </x:c>
      <x:c r="N13" s="13" t="str">
        <x:v>2N7002K-7-W</x:v>
      </x:c>
      <x:c r="O13" s="13" t="str">
        <x:v>Package_TO_SOT_SMD:SOT-23</x:v>
      </x:c>
      <x:c r="P13" s="13" t="str">
        <x:v>PANJIT製、60V/300mA、SOT-23、1=G/2=S/3=D。制御用の代替。</x:v>
      </x:c>
      <x:c r="Q13" s="13" t="str">
        <x:v>https://akizukidenshi.com/catalog/g/g104256/</x:v>
      </x:c>
    </x:row>
    <x:row r="14" ht="72" customHeight="1">
      <x:c r="A14" s="4" t="str">
        <x:v>C11</x:v>
      </x:c>
      <x:c r="B14" s="4" t="str">
        <x:v>0.47µF 50V X7R</x:v>
      </x:c>
      <x:c r="C14" s="4" t="str">
        <x:v>117142</x:v>
      </x:c>
      <x:c r="D14" s="34" t="str">
        <x:v>1袋</x:v>
      </x:c>
      <x:c r="E14" s="35" t="n">
        <x:v>20</x:v>
      </x:c>
      <x:c r="F14" s="35" t="n">
        <x:v>1</x:v>
      </x:c>
      <x:c r="G14" s="35" t="n">
        <x:f>E14*1-F14</x:f>
        <x:v>19</x:v>
      </x:c>
      <x:c r="H14" s="38" t="n">
        <x:f>I14*1</x:f>
        <x:v>170</x:v>
      </x:c>
      <x:c r="I14" s="38" t="n">
        <x:v>170</x:v>
      </x:c>
      <x:c r="J14" s="35" t="str">
        <x:v>3袋</x:v>
      </x:c>
      <x:c r="K14" s="4" t="str">
        <x:v>1F 35番 4段目</x:v>
      </x:c>
      <x:c r="L14" s="4" t="str"/>
      <x:c r="M14" s="4" t="str">
        <x:v>GRM21BR71H474KA88L</x:v>
      </x:c>
      <x:c r="N14" s="4" t="str">
        <x:v>C0805C474K5RACTU</x:v>
      </x:c>
      <x:c r="O14" s="4" t="str">
        <x:v>logger_v2_ups:C_0805_2012Metric</x:v>
      </x:c>
      <x:c r="P14" s="4" t="str">
        <x:v>Murata製、0805 (2012)、±10%。元品と同じ容量・耐圧・温度特性。</x:v>
      </x:c>
      <x:c r="Q14" s="4" t="str">
        <x:v>https://akizukidenshi.com/catalog/g/g117142/</x:v>
      </x:c>
    </x:row>
    <x:row r="15" ht="72" customHeight="1">
      <x:c r="A15" s="13" t="str">
        <x:v>C15</x:v>
      </x:c>
      <x:c r="B15" s="13" t="str">
        <x:v>0.1µF 100V X7R</x:v>
      </x:c>
      <x:c r="C15" s="13" t="str">
        <x:v>114559</x:v>
      </x:c>
      <x:c r="D15" s="34" t="str">
        <x:v>1袋</x:v>
      </x:c>
      <x:c r="E15" s="36" t="n">
        <x:v>20</x:v>
      </x:c>
      <x:c r="F15" s="36" t="n">
        <x:v>1</x:v>
      </x:c>
      <x:c r="G15" s="36" t="n">
        <x:f>E15*1-F15</x:f>
        <x:v>19</x:v>
      </x:c>
      <x:c r="H15" s="39" t="n">
        <x:f>I15*1</x:f>
        <x:v>150</x:v>
      </x:c>
      <x:c r="I15" s="39" t="n">
        <x:v>150</x:v>
      </x:c>
      <x:c r="J15" s="36" t="str">
        <x:v>5袋</x:v>
      </x:c>
      <x:c r="K15" s="13" t="str">
        <x:v>1F 35番 3段目</x:v>
      </x:c>
      <x:c r="L15" s="13" t="str"/>
      <x:c r="M15" s="13" t="str">
        <x:v>GRM188R72A104KA35D</x:v>
      </x:c>
      <x:c r="N15" s="13" t="str">
        <x:v>C0603C104K5RACTU</x:v>
      </x:c>
      <x:c r="O15" s="13" t="str">
        <x:v>Capacitor_SMD:C_0603_1608Metric</x:v>
      </x:c>
      <x:c r="P15" s="13" t="str">
        <x:v>Murata製、0603 (1608)、±10%。元の50V品から耐圧を上げた代替。</x:v>
      </x:c>
      <x:c r="Q15" s="13" t="str">
        <x:v>https://akizukidenshi.com/catalog/g/g114559/</x:v>
      </x:c>
    </x:row>
    <x:row r="16" ht="72" customHeight="1">
      <x:c r="A16" s="4" t="str">
        <x:v>R4, R6</x:v>
      </x:c>
      <x:c r="B16" s="4" t="str">
        <x:v>1kΩ 0.1% 1/8W</x:v>
      </x:c>
      <x:c r="C16" s="4" t="str">
        <x:v>111796</x:v>
      </x:c>
      <x:c r="D16" s="34" t="str">
        <x:v>1袋</x:v>
      </x:c>
      <x:c r="E16" s="35" t="n">
        <x:v>5</x:v>
      </x:c>
      <x:c r="F16" s="35" t="n">
        <x:v>2</x:v>
      </x:c>
      <x:c r="G16" s="35" t="n">
        <x:f>E16*1-F16</x:f>
        <x:v>3</x:v>
      </x:c>
      <x:c r="H16" s="38" t="n">
        <x:f>I16*1</x:f>
        <x:v>100</x:v>
      </x:c>
      <x:c r="I16" s="38" t="n">
        <x:v>100</x:v>
      </x:c>
      <x:c r="J16" s="35" t="str">
        <x:v>24袋</x:v>
      </x:c>
      <x:c r="K16" s="4" t="str">
        <x:v>1F 15番 下段引出</x:v>
      </x:c>
      <x:c r="L16" s="4" t="str"/>
      <x:c r="M16" s="4" t="str">
        <x:v>RG2012N-102-B-T5</x:v>
      </x:c>
      <x:c r="N16" s="4" t="str">
        <x:v>RC0805FR-071KL</x:v>
      </x:c>
      <x:c r="O16" s="4" t="str">
        <x:v>logger_v2_ups:R_0805_2012Metric</x:v>
      </x:c>
      <x:c r="P16" s="4" t="str">
        <x:v>Susumu製、0805 (2012)。元の1%品より高精度、電力は同じ。</x:v>
      </x:c>
      <x:c r="Q16" s="4" t="str">
        <x:v>https://akizukidenshi.com/catalog/g/g111796/</x:v>
      </x:c>
    </x:row>
    <x:row r="17">
      <x:c r="A17" s="29" t="str">
        <x:v>合計</x:v>
      </x:c>
      <x:c r="B17" s="29"/>
      <x:c r="C17" s="29"/>
      <x:c r="D17" s="41"/>
      <x:c r="E17" s="41"/>
      <x:c r="F17" s="41" t="n">
        <x:f>SUM(F10:F16)</x:f>
        <x:v>10</x:v>
      </x:c>
      <x:c r="G17" s="41" t="n">
        <x:f>SUM(G10:G16)</x:f>
        <x:v>79</x:v>
      </x:c>
      <x:c r="H17" s="42" t="n">
        <x:f>SUM(H10:H16)</x:f>
        <x:v>745</x:v>
      </x:c>
      <x:c r="I17" s="42"/>
      <x:c r="J17" s="41"/>
      <x:c r="K17" s="29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8" customHeight="1">
      <x:c r="A19" s="4" t="str">
        <x:v>ピンソケットはメス・短足・2.54mm。10Pを1個、8Pを2個、6Pを1個。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1"/>
      <x:c r="M19" s="1"/>
      <x:c r="N19" s="1"/>
      <x:c r="O19" s="1"/>
      <x:c r="P19" s="1"/>
      <x:c r="Q19" s="1"/>
    </x:row>
    <x:row r="20" ht="28" customHeight="1">
      <x:c r="A20" s="4" t="str">
        <x:v>C11/C15は元と同じ実装サイズ・X7R。C15の耐圧は50Vから100V。R4/R6は同じ1kΩ・0805・1/8W。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1"/>
      <x:c r="M20" s="1"/>
      <x:c r="N20" s="1"/>
      <x:c r="O20" s="1"/>
      <x:c r="P20" s="1"/>
      <x:c r="Q20" s="1"/>
    </x:row>
    <x:row r="21" ht="28" customHeight="1">
      <x:c r="A21" s="4" t="str">
        <x:v>2N7002KはPANJIT製。SOT-23、1=G/2=S/3=Dが既存フットプリントと対応します。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1"/>
      <x:c r="M21" s="1"/>
      <x:c r="N21" s="1"/>
      <x:c r="O21" s="1"/>
      <x:c r="P21" s="1"/>
      <x:c r="Q21" s="1"/>
    </x:row>
    <x:row r="22" ht="28" customHeight="1">
      <x:c r="A22" s="4" t="str">
        <x:v>ソケット接点定格3A（元品4.7A）。推奨穴1.02±0.05mmに対し基板穴1.0mm、高さ8.5mm。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1"/>
      <x:c r="M22" s="1"/>
      <x:c r="N22" s="1"/>
      <x:c r="O22" s="1"/>
      <x:c r="P22" s="1"/>
      <x:c r="Q22" s="1"/>
    </x:row>
    <x:row r="23" ht="28" customHeight="1">
      <x:c r="A23" s="4" t="str">
        <x:v>店頭在庫のない1µF（秋月115331）はこのリストから除外し、DigiKeyのC5に含めました。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1"/>
      <x:c r="M23" s="1"/>
      <x:c r="N23" s="1"/>
      <x:c r="O23" s="1"/>
      <x:c r="P23" s="1"/>
      <x:c r="Q23" s="1"/>
    </x:row>
    <x:row r="24" ht="28" customHeight="1">
      <x:c r="A24" s="4" t="str">
        <x:v>袋単位のためMOSFET38個、C11/C15各19個、1kΩ抵抗3個が予備として残ります。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</x:sheetData>
  <x:mergeCells>
    <x:mergeCell ref="A2:K2"/>
    <x:mergeCell ref="A3:K3"/>
    <x:mergeCell ref="A4:C4"/>
    <x:mergeCell ref="A5:K5"/>
    <x:mergeCell ref="A6:K6"/>
    <x:mergeCell ref="A7:K7"/>
    <x:mergeCell ref="A19:K19"/>
    <x:mergeCell ref="A20:K20"/>
    <x:mergeCell ref="A21:K21"/>
    <x:mergeCell ref="A22:K22"/>
    <x:mergeCell ref="A23:K23"/>
    <x:mergeCell ref="A24:K24"/>
  </x:mergeCells>
  <x:pageMargins left="0.7" right="0.7" top="0.75" bottom="0.75" header="0.3" footer="0.3"/>
</x:worksheet>
</file>
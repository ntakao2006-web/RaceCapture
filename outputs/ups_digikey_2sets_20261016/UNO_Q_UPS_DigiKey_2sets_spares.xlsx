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1666e24a4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262762b58683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"/>
    <x:numFmt numFmtId="202" formatCode="yyyy-mm-dd"/>
    <x:numFmt numFmtId="203" formatCode="#,##0.00"/>
  </x:numFmts>
  <x:fonts count="6">
    <x:font>
      <x:sz val="11"/>
      <x:name val="Carlito"/>
    </x:font>
    <x:font>
      <x:sz val="10"/>
      <x:color rgb="FF202B33"/>
      <x:name val="Arial"/>
    </x:font>
    <x:font>
      <x:b/>
      <x:sz val="15"/>
      <x:color rgb="FF202B33"/>
      <x:name val="Arial"/>
    </x:font>
    <x:font>
      <x:b/>
      <x:sz val="10"/>
      <x:color rgb="FFFFFFFF"/>
      <x:name val="Arial"/>
    </x:font>
    <x:font>
      <x:sz val="10"/>
      <x:color rgb="FF1763B2"/>
      <x:name val="Arial"/>
    </x:font>
    <x:font>
      <x:b/>
      <x:sz val="10"/>
      <x:color rgb="FF202B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3"/>
      </x:patternFill>
    </x:fill>
    <x:fill>
      <x:patternFill patternType="solid">
        <x:fgColor rgb="FFF2F5F7"/>
      </x:patternFill>
    </x:fill>
    <x:fill>
      <x:patternFill patternType="solid">
        <x:fgColor rgb="FFE0F1EE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667788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1" fontId="1" fillId="4" borderId="1" xfId="0" applyNumberFormat="1" applyFont="1" applyFill="1" applyBorder="1"/>
    <x:xf numFmtId="0" fontId="5" fillId="0" borderId="1" xfId="0" applyNumberFormat="1" applyFont="1" applyFill="1" applyBorder="1"/>
    <x:xf numFmtId="201" fontId="5" fillId="0" borderId="1" xfId="0" applyNumberFormat="1" applyFont="1" applyFill="1" applyBorder="1"/>
    <x:xf numFmtId="201" fontId="5" fillId="4" borderId="1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bbdb1b8a948dd" /><Relationship Type="http://schemas.openxmlformats.org/officeDocument/2006/relationships/theme" Target="/xl/theme/theme1.xml" Id="Rc86faac3bb5343c9" /><Relationship Type="http://schemas.openxmlformats.org/officeDocument/2006/relationships/sharedStrings" Target="/xl/sharedStrings.xml" Id="R0e16f7dbc2aa4b5e" /><Relationship Type="http://schemas.openxmlformats.org/officeDocument/2006/relationships/worksheet" Target="/xl/worksheets/sheet1.xml" Id="R262762b586834d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9" hidden="0" customWidth="1"/>
    <x:col min="4" max="4" width="9" hidden="0" customWidth="1"/>
    <x:col min="5" max="5" width="9" hidden="0" customWidth="1"/>
    <x:col min="6" max="6" width="8" hidden="0" customWidth="1"/>
    <x:col min="7" max="7" width="9" hidden="0" customWidth="1"/>
    <x:col min="8" max="8" width="34" hidden="0" customWidth="1"/>
    <x:col min="9" max="9" width="13" hidden="0" customWidth="1"/>
    <x:col min="10" max="10" width="15" hidden="0" customWidth="1"/>
    <x:col min="11" max="11" width="65" hidden="0" customWidth="1"/>
    <x:col min="12" max="12" width="76" hidden="0" customWidth="1"/>
    <x:col min="13" max="13" width="72" hidden="0" customWidth="1"/>
    <x:col min="14" max="14" width="85" hidden="0" customWidth="1"/>
    <x:col min="15" max="15" width="85" hidden="0" customWidth="1"/>
  </x:cols>
  <x:sheetData>
    <x:row r="2">
      <x:c r="A2" s="4" t="str">
        <x:v>UNO Q UPS｜DigiKey購入用BOM・2セット＋少量予備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全27品種をDigiKeyへ統一 / 2026-10-16確認 / 必要80個＋予備38個＝注文118個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製作セット数</x:v>
      </x:c>
      <x:c r="B4" s="14" t="n">
        <x:v>2</x:v>
      </x:c>
      <x:c r="C4" s="2"/>
      <x:c r="D4" s="2" t="str">
        <x:v>予備：抵抗・MLCCは各品種＋2個、MOSFETは＋2個。その他は必要数のみ。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 t="str">
        <x:v>CAP：7Fへ減量（価格優先）。公称エネルギーは旧10F品の70%。保持時間は実機未確認。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 t="str">
        <x:v>注文はG列。確認時の在庫・価格であり予約ではありません。購入総額は未集計。送料を含みません。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0" customHeight="1">
      <x:c r="A8" s="8" t="str">
        <x:v>部品番号</x:v>
      </x:c>
      <x:c r="B8" s="8" t="str">
        <x:v>値</x:v>
      </x:c>
      <x:c r="C8" s="8" t="str">
        <x:v>メーカー型番</x:v>
      </x:c>
      <x:c r="D8" s="8" t="str">
        <x:v>1セット</x:v>
      </x:c>
      <x:c r="E8" s="8" t="str">
        <x:v>必要数</x:v>
      </x:c>
      <x:c r="F8" s="8" t="str">
        <x:v>予備</x:v>
      </x:c>
      <x:c r="G8" s="8" t="str">
        <x:v>注文数</x:v>
      </x:c>
      <x:c r="H8" s="8" t="str">
        <x:v>DigiKey注文番号</x:v>
      </x:c>
      <x:c r="I8" s="8" t="str">
        <x:v>表示在庫</x:v>
      </x:c>
      <x:c r="J8" s="8" t="str">
        <x:v>確認日</x:v>
      </x:c>
      <x:c r="K8" s="8" t="str">
        <x:v>フットプリント</x:v>
      </x:c>
      <x:c r="L8" s="8" t="str">
        <x:v>定格・仕様</x:v>
      </x:c>
      <x:c r="M8" s="8" t="str">
        <x:v>備考</x:v>
      </x:c>
      <x:c r="N8" s="8" t="str">
        <x:v>購入ページ</x:v>
      </x:c>
      <x:c r="O8" s="8" t="str">
        <x:v>在庫確認元</x:v>
      </x:c>
    </x:row>
    <x:row r="9" ht="56" customHeight="1">
      <x:c r="A9" s="10" t="str">
        <x:v>C1, C2</x:v>
      </x:c>
      <x:c r="B9" s="10" t="str">
        <x:v>47u</x:v>
      </x:c>
      <x:c r="C9" s="10" t="str">
        <x:v>25SVPF47M</x:v>
      </x:c>
      <x:c r="D9" s="17" t="n">
        <x:v>2</x:v>
      </x:c>
      <x:c r="E9" s="17" t="n">
        <x:f>D9*$B$4</x:f>
        <x:v>4</x:v>
      </x:c>
      <x:c r="F9" s="18" t="n">
        <x:v>0</x:v>
      </x:c>
      <x:c r="G9" s="19" t="n">
        <x:f>E9+F9</x:f>
        <x:v>4</x:v>
      </x:c>
      <x:c r="H9" s="17" t="str">
        <x:v>P16513CT-ND</x:v>
      </x:c>
      <x:c r="I9" s="17" t="n">
        <x:v>48305</x:v>
      </x:c>
      <x:c r="J9" s="24" t="d">
        <x:v>2026-10-16T00:00:00.000Z</x:v>
      </x:c>
      <x:c r="K9" s="10" t="str">
        <x:v>logger_v2_ups:CP_Elec_6.3x5.9</x:v>
      </x:c>
      <x:c r="L9" s="10" t="str">
        <x:v>47uF 25V aluminum solid polymer; ESR 30mohm; ripple 2.8A @100kHz 105C</x:v>
      </x:c>
      <x:c r="M9" s="10" t="str"/>
      <x:c r="N9" s="10" t="str">
        <x:v>https://www.digikey.jp/en/products/detail/panasonic-industry/25SVPF47M/4204320</x:v>
      </x:c>
      <x:c r="O9" s="10" t="str">
        <x:v>https://www.digikey.jp/en/products/detail/panasonic-industry/25SVPF47M/4204320</x:v>
      </x:c>
    </x:row>
    <x:row r="10" ht="56" customHeight="1">
      <x:c r="A10" s="11" t="str">
        <x:v>C3, C4, C9</x:v>
      </x:c>
      <x:c r="B10" s="11" t="str">
        <x:v>22u</x:v>
      </x:c>
      <x:c r="C10" s="11" t="str">
        <x:v>EMK316BB7226ML-T</x:v>
      </x:c>
      <x:c r="D10" s="20" t="n">
        <x:v>3</x:v>
      </x:c>
      <x:c r="E10" s="20" t="n">
        <x:f>D10*$B$4</x:f>
        <x:v>6</x:v>
      </x:c>
      <x:c r="F10" s="21" t="n">
        <x:v>2</x:v>
      </x:c>
      <x:c r="G10" s="19" t="n">
        <x:f>E10+F10</x:f>
        <x:v>8</x:v>
      </x:c>
      <x:c r="H10" s="20" t="str">
        <x:v>587-4319-1-ND</x:v>
      </x:c>
      <x:c r="I10" s="20" t="n">
        <x:v>78721</x:v>
      </x:c>
      <x:c r="J10" s="25" t="d">
        <x:v>2026-10-16T00:00:00.000Z</x:v>
      </x:c>
      <x:c r="K10" s="11" t="str">
        <x:v>Capacitor_SMD:C_1206_3216Metric</x:v>
      </x:c>
      <x:c r="L10" s="11" t="str">
        <x:v>22uF +/-20%; 16V; X7R MLCC; 3216 (1206); -55..125C; non-polarized</x:v>
      </x:c>
      <x:c r="M10" s="11" t="str"/>
      <x:c r="N10" s="11" t="str">
        <x:v>https://www.digikey.jp/en/products/detail/taiyo-yuden/EMK316BB7226ML-T/5361263</x:v>
      </x:c>
      <x:c r="O10" s="11" t="str">
        <x:v>https://www.digikey.jp/en/products/detail/taiyo-yuden/EMK316BB7226ML-T/5361263</x:v>
      </x:c>
    </x:row>
    <x:row r="11" ht="56" customHeight="1">
      <x:c r="A11" s="10" t="str">
        <x:v>C5</x:v>
      </x:c>
      <x:c r="B11" s="10" t="str">
        <x:v>1u</x:v>
      </x:c>
      <x:c r="C11" s="10" t="str">
        <x:v>C0805C105K5RACTU</x:v>
      </x:c>
      <x:c r="D11" s="17" t="n">
        <x:v>1</x:v>
      </x:c>
      <x:c r="E11" s="17" t="n">
        <x:f>D11*$B$4</x:f>
        <x:v>2</x:v>
      </x:c>
      <x:c r="F11" s="18" t="n">
        <x:v>2</x:v>
      </x:c>
      <x:c r="G11" s="19" t="n">
        <x:f>E11+F11</x:f>
        <x:v>4</x:v>
      </x:c>
      <x:c r="H11" s="17" t="str">
        <x:v>399-C0805C105K5RACTUCT-ND</x:v>
      </x:c>
      <x:c r="I11" s="17" t="n">
        <x:v>141160</x:v>
      </x:c>
      <x:c r="J11" s="24" t="d">
        <x:v>2026-10-16T00:00:00.000Z</x:v>
      </x:c>
      <x:c r="K11" s="10" t="str">
        <x:v>logger_v2_ups:C_0805_2012Metric</x:v>
      </x:c>
      <x:c r="L11" s="10" t="str">
        <x:v>1uF 50V X7R +/-10% MLCC 0805</x:v>
      </x:c>
      <x:c r="M11" s="10" t="str"/>
      <x:c r="N11" s="10" t="str">
        <x:v>https://www.digikey.jp/en/products/detail/kemet/C0805C105K5RACTU/3317443</x:v>
      </x:c>
      <x:c r="O11" s="10" t="str">
        <x:v>https://www.digikey.jp/en/products/detail/kemet/C0805C105K5RACTU/3317443</x:v>
      </x:c>
    </x:row>
    <x:row r="12" ht="56" customHeight="1">
      <x:c r="A12" s="11" t="str">
        <x:v>C6, C7, C8, C12, C13, C14</x:v>
      </x:c>
      <x:c r="B12" s="11" t="str">
        <x:v>7F(2.7V)</x:v>
      </x:c>
      <x:c r="C12" s="11" t="str">
        <x:v>HVH1020-2R7705-R</x:v>
      </x:c>
      <x:c r="D12" s="20" t="n">
        <x:v>6</x:v>
      </x:c>
      <x:c r="E12" s="20" t="n">
        <x:f>D12*$B$4</x:f>
        <x:v>12</x:v>
      </x:c>
      <x:c r="F12" s="21" t="n">
        <x:v>0</x:v>
      </x:c>
      <x:c r="G12" s="19" t="n">
        <x:f>E12+F12</x:f>
        <x:v>12</x:v>
      </x:c>
      <x:c r="H12" s="20" t="str">
        <x:v>283-HVH1020-2R7705-R-ND</x:v>
      </x:c>
      <x:c r="I12" s="20" t="n">
        <x:v>4000</x:v>
      </x:c>
      <x:c r="J12" s="25" t="d">
        <x:v>2026-10-16T00:00:00.000Z</x:v>
      </x:c>
      <x:c r="K12" s="11" t="str">
        <x:v>logger_v2_ups:Eaton_HVH1020-2R7705-R_D10_L20_P5_Horizontal</x:v>
      </x:c>
      <x:c r="L12" s="11" t="str">
        <x:v>7F +/-20%; 2.7V; ESR DC max113mohm / 1kHz max75mohm; -40..70C; D10(+0.5) L20(+/-2) P5(+/-0.5)mm</x:v>
      </x:c>
      <x:c r="M12" s="11" t="str">
        <x:v>価格優先で7F採用。旧10F比で公称エネルギー70%。横置き・90度リード曲げ、実機保持時間未検証。</x:v>
      </x:c>
      <x:c r="N12" s="11" t="str">
        <x:v>https://www.digikey.jp/ja/products/detail/eaton-electronics-division/HVH1020-2R7705-R/28140394</x:v>
      </x:c>
      <x:c r="O12" s="11" t="str">
        <x:v>https://www.digikey.jp/ja/products/detail/eaton-electronics-division/HVH1020-2R7705-R/28140394</x:v>
      </x:c>
    </x:row>
    <x:row r="13" ht="56" customHeight="1">
      <x:c r="A13" s="10" t="str">
        <x:v>C10</x:v>
      </x:c>
      <x:c r="B13" s="10" t="str">
        <x:v>2.2n</x:v>
      </x:c>
      <x:c r="C13" s="10" t="str">
        <x:v>C0805C222J5GACTU</x:v>
      </x:c>
      <x:c r="D13" s="17" t="n">
        <x:v>1</x:v>
      </x:c>
      <x:c r="E13" s="17" t="n">
        <x:f>D13*$B$4</x:f>
        <x:v>2</x:v>
      </x:c>
      <x:c r="F13" s="18" t="n">
        <x:v>2</x:v>
      </x:c>
      <x:c r="G13" s="19" t="n">
        <x:f>E13+F13</x:f>
        <x:v>4</x:v>
      </x:c>
      <x:c r="H13" s="17" t="str">
        <x:v>399-C0805C222J5GACTUCT-ND</x:v>
      </x:c>
      <x:c r="I13" s="17" t="n">
        <x:v>22273</x:v>
      </x:c>
      <x:c r="J13" s="24" t="d">
        <x:v>2026-10-16T00:00:00.000Z</x:v>
      </x:c>
      <x:c r="K13" s="10" t="str">
        <x:v>logger_v2_ups:C_0805_2012Metric</x:v>
      </x:c>
      <x:c r="L13" s="10" t="str">
        <x:v>2.2nF 50V C0G +/-5% MLCC 0805</x:v>
      </x:c>
      <x:c r="M13" s="10" t="str"/>
      <x:c r="N13" s="10" t="str">
        <x:v>https://www.digikey.jp/en/products/detail/kemet/C0805C222J5GACTU/2212256</x:v>
      </x:c>
      <x:c r="O13" s="10" t="str">
        <x:v>https://www.digikey.com/en/products/detail/kemet/C0805C222J5GACTU/2212256</x:v>
      </x:c>
    </x:row>
    <x:row r="14" ht="56" customHeight="1">
      <x:c r="A14" s="11" t="str">
        <x:v>C11</x:v>
      </x:c>
      <x:c r="B14" s="11" t="str">
        <x:v>0.47u</x:v>
      </x:c>
      <x:c r="C14" s="11" t="str">
        <x:v>C0805C474K5RACTU</x:v>
      </x:c>
      <x:c r="D14" s="20" t="n">
        <x:v>1</x:v>
      </x:c>
      <x:c r="E14" s="20" t="n">
        <x:f>D14*$B$4</x:f>
        <x:v>2</x:v>
      </x:c>
      <x:c r="F14" s="21" t="n">
        <x:v>2</x:v>
      </x:c>
      <x:c r="G14" s="19" t="n">
        <x:f>E14+F14</x:f>
        <x:v>4</x:v>
      </x:c>
      <x:c r="H14" s="20" t="str">
        <x:v>399-C0805C474K5RACTUCT-ND</x:v>
      </x:c>
      <x:c r="I14" s="20" t="n">
        <x:v>114052</x:v>
      </x:c>
      <x:c r="J14" s="25" t="d">
        <x:v>2026-10-16T00:00:00.000Z</x:v>
      </x:c>
      <x:c r="K14" s="11" t="str">
        <x:v>logger_v2_ups:C_0805_2012Metric</x:v>
      </x:c>
      <x:c r="L14" s="11" t="str">
        <x:v>0.47uF 50V X7R +/-10% MLCC 0805</x:v>
      </x:c>
      <x:c r="M14" s="11" t="str"/>
      <x:c r="N14" s="11" t="str">
        <x:v>https://www.digikey.jp/en/products/detail/kemet/C0805C474K5RACTU/2212887</x:v>
      </x:c>
      <x:c r="O14" s="11" t="str">
        <x:v>https://www.digikey.com/en/products/detail/kemet/C0805C474K5RACTU/2212887</x:v>
      </x:c>
    </x:row>
    <x:row r="15" ht="56" customHeight="1">
      <x:c r="A15" s="10" t="str">
        <x:v>C15</x:v>
      </x:c>
      <x:c r="B15" s="10" t="str">
        <x:v>0.1u</x:v>
      </x:c>
      <x:c r="C15" s="10" t="str">
        <x:v>C0603C104K5RACTU</x:v>
      </x:c>
      <x:c r="D15" s="17" t="n">
        <x:v>1</x:v>
      </x:c>
      <x:c r="E15" s="17" t="n">
        <x:f>D15*$B$4</x:f>
        <x:v>2</x:v>
      </x:c>
      <x:c r="F15" s="18" t="n">
        <x:v>2</x:v>
      </x:c>
      <x:c r="G15" s="19" t="n">
        <x:f>E15+F15</x:f>
        <x:v>4</x:v>
      </x:c>
      <x:c r="H15" s="17" t="str">
        <x:v>399-C0603C104K5RACTUCT-ND</x:v>
      </x:c>
      <x:c r="I15" s="17" t="n">
        <x:v>4527702</x:v>
      </x:c>
      <x:c r="J15" s="24" t="d">
        <x:v>2026-10-16T00:00:00.000Z</x:v>
      </x:c>
      <x:c r="K15" s="10" t="str">
        <x:v>Capacitor_SMD:C_0603_1608Metric</x:v>
      </x:c>
      <x:c r="L15" s="10" t="str">
        <x:v>0.1uF; 50V; X7R MLCC; +/-10%; 0603 (1608 metric)</x:v>
      </x:c>
      <x:c r="M15" s="10" t="str"/>
      <x:c r="N15" s="10" t="str">
        <x:v>https://www.digikey.jp/en/products/detail/kemet/C0603C104K5RACTU/1465623</x:v>
      </x:c>
      <x:c r="O15" s="10" t="str">
        <x:v>https://www.digikey.jp/en/products/detail/kemet/C0603C104K5RACTU/1465623</x:v>
      </x:c>
    </x:row>
    <x:row r="16" ht="56" customHeight="1">
      <x:c r="A16" s="11" t="str">
        <x:v>C16</x:v>
      </x:c>
      <x:c r="B16" s="11" t="str">
        <x:v>10n</x:v>
      </x:c>
      <x:c r="C16" s="11" t="str">
        <x:v>C0603C103K5RACTU</x:v>
      </x:c>
      <x:c r="D16" s="20" t="n">
        <x:v>1</x:v>
      </x:c>
      <x:c r="E16" s="20" t="n">
        <x:f>D16*$B$4</x:f>
        <x:v>2</x:v>
      </x:c>
      <x:c r="F16" s="21" t="n">
        <x:v>2</x:v>
      </x:c>
      <x:c r="G16" s="19" t="n">
        <x:f>E16+F16</x:f>
        <x:v>4</x:v>
      </x:c>
      <x:c r="H16" s="20" t="str">
        <x:v>399-C0603C103K5RACTUCT-ND</x:v>
      </x:c>
      <x:c r="I16" s="20" t="n">
        <x:v>6334222</x:v>
      </x:c>
      <x:c r="J16" s="25" t="d">
        <x:v>2026-10-16T00:00:00.000Z</x:v>
      </x:c>
      <x:c r="K16" s="11" t="str">
        <x:v>Capacitor_SMD:C_0603_1608Metric</x:v>
      </x:c>
      <x:c r="L16" s="11" t="str">
        <x:v>10nF; 50V; X7R MLCC; +/-10%; 0603 (1608 metric)</x:v>
      </x:c>
      <x:c r="M16" s="11" t="str"/>
      <x:c r="N16" s="11" t="str">
        <x:v>https://www.digikey.jp/en/products/detail/kemet/C0603C103K5RACTU/411090</x:v>
      </x:c>
      <x:c r="O16" s="11" t="str">
        <x:v>https://www.digikey.jp/en/products/detail/kemet/C0603C103K5RACTU/411090</x:v>
      </x:c>
    </x:row>
    <x:row r="17" ht="56" customHeight="1">
      <x:c r="A17" s="10" t="str">
        <x:v>J1</x:v>
      </x:c>
      <x:c r="B17" s="10" t="str">
        <x:v>Digital/PWM</x:v>
      </x:c>
      <x:c r="C17" s="10" t="str">
        <x:v>SSW-110-01-T-S</x:v>
      </x:c>
      <x:c r="D17" s="17" t="n">
        <x:v>1</x:v>
      </x:c>
      <x:c r="E17" s="17" t="n">
        <x:f>D17*$B$4</x:f>
        <x:v>2</x:v>
      </x:c>
      <x:c r="F17" s="18" t="n">
        <x:v>0</x:v>
      </x:c>
      <x:c r="G17" s="19" t="n">
        <x:f>E17+F17</x:f>
        <x:v>2</x:v>
      </x:c>
      <x:c r="H17" s="17" t="str">
        <x:v>612-SSW-110-01-T-S-ND</x:v>
      </x:c>
      <x:c r="I17" s="17" t="n">
        <x:v>347</x:v>
      </x:c>
      <x:c r="J17" s="24" t="d">
        <x:v>2026-10-16T00:00:00.000Z</x:v>
      </x:c>
      <x:c r="K17" s="10" t="str">
        <x:v>logger_v2_ups:PinSocket_1x10_P2.54mm_Vertical</x:v>
      </x:c>
      <x:c r="L17" s="10" t="str">
        <x:v>2.54mm THT female socket; 4.7A per contact; -55..105C</x:v>
      </x:c>
      <x:c r="M17" s="10" t="str"/>
      <x:c r="N17" s="10" t="str">
        <x:v>https://www.digikey.jp/en/products/detail/samtec-inc/SSW-110-01-T-S/1112295</x:v>
      </x:c>
      <x:c r="O17" s="10" t="str">
        <x:v>https://www.digikey.com/en/products/detail/samtec-inc/SSW-110-01-T-S/1112295</x:v>
      </x:c>
    </x:row>
    <x:row r="18" ht="56" customHeight="1">
      <x:c r="A18" s="11" t="str">
        <x:v>J2, J4</x:v>
      </x:c>
      <x:c r="B18" s="11" t="str">
        <x:v>Power / Digital/PWM</x:v>
      </x:c>
      <x:c r="C18" s="11" t="str">
        <x:v>SSW-108-01-T-S</x:v>
      </x:c>
      <x:c r="D18" s="20" t="n">
        <x:v>2</x:v>
      </x:c>
      <x:c r="E18" s="20" t="n">
        <x:f>D18*$B$4</x:f>
        <x:v>4</x:v>
      </x:c>
      <x:c r="F18" s="21" t="n">
        <x:v>0</x:v>
      </x:c>
      <x:c r="G18" s="19" t="n">
        <x:f>E18+F18</x:f>
        <x:v>4</x:v>
      </x:c>
      <x:c r="H18" s="20" t="str">
        <x:v>612-SSW-108-01-T-S-ND</x:v>
      </x:c>
      <x:c r="I18" s="20" t="n">
        <x:v>1689</x:v>
      </x:c>
      <x:c r="J18" s="25" t="d">
        <x:v>2026-10-16T00:00:00.000Z</x:v>
      </x:c>
      <x:c r="K18" s="11" t="str">
        <x:v>logger_v2_ups:PinSocket_1x08_P2.54mm_Vertical</x:v>
      </x:c>
      <x:c r="L18" s="11" t="str">
        <x:v>2.54mm THT female socket; 4.7A per contact; -55..105C</x:v>
      </x:c>
      <x:c r="M18" s="11" t="str"/>
      <x:c r="N18" s="11" t="str">
        <x:v>https://www.digikey.jp/en/products/detail/samtec-inc/SSW-108-01-T-S/1112297</x:v>
      </x:c>
      <x:c r="O18" s="11" t="str">
        <x:v>https://www.digikey.jp/en/products/detail/samtec-inc/SSW-108-01-T-S/1112297</x:v>
      </x:c>
    </x:row>
    <x:row r="19" ht="56" customHeight="1">
      <x:c r="A19" s="10" t="str">
        <x:v>J3</x:v>
      </x:c>
      <x:c r="B19" s="10" t="str">
        <x:v>Analog</x:v>
      </x:c>
      <x:c r="C19" s="10" t="str">
        <x:v>SSW-106-01-T-S</x:v>
      </x:c>
      <x:c r="D19" s="17" t="n">
        <x:v>1</x:v>
      </x:c>
      <x:c r="E19" s="17" t="n">
        <x:f>D19*$B$4</x:f>
        <x:v>2</x:v>
      </x:c>
      <x:c r="F19" s="18" t="n">
        <x:v>0</x:v>
      </x:c>
      <x:c r="G19" s="19" t="n">
        <x:f>E19+F19</x:f>
        <x:v>2</x:v>
      </x:c>
      <x:c r="H19" s="17" t="str">
        <x:v>612-SSW-106-01-T-S-ND</x:v>
      </x:c>
      <x:c r="I19" s="17" t="n">
        <x:v>1910</x:v>
      </x:c>
      <x:c r="J19" s="24" t="d">
        <x:v>2026-10-16T00:00:00.000Z</x:v>
      </x:c>
      <x:c r="K19" s="10" t="str">
        <x:v>logger_v2_ups:PinSocket_1x06_P2.54mm_Vertical</x:v>
      </x:c>
      <x:c r="L19" s="10" t="str">
        <x:v>2.54mm THT female socket; 4.7A per contact; -55..105C</x:v>
      </x:c>
      <x:c r="M19" s="10" t="str"/>
      <x:c r="N19" s="10" t="str">
        <x:v>https://www.digikey.jp/en/products/detail/samtec-inc/SSW-106-01-T-S/1112299</x:v>
      </x:c>
      <x:c r="O19" s="10" t="str">
        <x:v>https://www.digikey.com/en/products/detail/samtec-inc/SSW-106-01-T-S/1112299</x:v>
      </x:c>
    </x:row>
    <x:row r="20" ht="56" customHeight="1">
      <x:c r="A20" s="11" t="str">
        <x:v>L1</x:v>
      </x:c>
      <x:c r="B20" s="11" t="str">
        <x:v>0.47u</x:v>
      </x:c>
      <x:c r="C20" s="11" t="str">
        <x:v>744355147</x:v>
      </x:c>
      <x:c r="D20" s="20" t="n">
        <x:v>1</x:v>
      </x:c>
      <x:c r="E20" s="20" t="n">
        <x:f>D20*$B$4</x:f>
        <x:v>2</x:v>
      </x:c>
      <x:c r="F20" s="21" t="n">
        <x:v>0</x:v>
      </x:c>
      <x:c r="G20" s="19" t="n">
        <x:f>E20+F20</x:f>
        <x:v>2</x:v>
      </x:c>
      <x:c r="H20" s="20" t="str">
        <x:v>732-744355147CT-ND</x:v>
      </x:c>
      <x:c r="I20" s="20" t="n">
        <x:v>5892</x:v>
      </x:c>
      <x:c r="J20" s="25" t="d">
        <x:v>2026-10-16T00:00:00.000Z</x:v>
      </x:c>
      <x:c r="K20" s="11" t="str">
        <x:v>logger_v2_ups:L_Wuerth_HCI-1365</x:v>
      </x:c>
      <x:c r="L20" s="11" t="str">
        <x:v>0.47uH +/-20%; Ir 30A; Isat10% 25A; Isat30% 50A; DCR 0.67mohm; 13x12.8x6.5mm</x:v>
      </x:c>
      <x:c r="M20" s="11" t="str"/>
      <x:c r="N20" s="11" t="str">
        <x:v>https://www.digikey.jp/en/products/detail/w%C3%BCrth-elektronik/744355147/1638527</x:v>
      </x:c>
      <x:c r="O20" s="11" t="str">
        <x:v>https://www.digikey.jp/en/products/detail/w%C3%BCrth-elektronik/744355147/1638527</x:v>
      </x:c>
    </x:row>
    <x:row r="21" ht="56" customHeight="1">
      <x:c r="A21" s="10" t="str">
        <x:v>Q1, Q2</x:v>
      </x:c>
      <x:c r="B21" s="10" t="str">
        <x:v>2N7002K</x:v>
      </x:c>
      <x:c r="C21" s="10" t="str">
        <x:v>2N7002K-7-W</x:v>
      </x:c>
      <x:c r="D21" s="17" t="n">
        <x:v>2</x:v>
      </x:c>
      <x:c r="E21" s="17" t="n">
        <x:f>D21*$B$4</x:f>
        <x:v>4</x:v>
      </x:c>
      <x:c r="F21" s="18" t="n">
        <x:v>2</x:v>
      </x:c>
      <x:c r="G21" s="19" t="n">
        <x:f>E21+F21</x:f>
        <x:v>6</x:v>
      </x:c>
      <x:c r="H21" s="17" t="str">
        <x:v>31-2N7002K-7-WCT-ND</x:v>
      </x:c>
      <x:c r="I21" s="17" t="n">
        <x:v>5766</x:v>
      </x:c>
      <x:c r="J21" s="24" t="d">
        <x:v>2026-10-16T00:00:00.000Z</x:v>
      </x:c>
      <x:c r="K21" s="10" t="str">
        <x:v>Package_TO_SOT_SMD:SOT-23</x:v>
      </x:c>
      <x:c r="L21" s="10" t="str">
        <x:v>N-channel MOSFET; 60V VDS; 380mA at VGS=10V; SOT-23</x:v>
      </x:c>
      <x:c r="M21" s="10" t="str"/>
      <x:c r="N21" s="10" t="str">
        <x:v>https://www.digikey.jp/en/products/detail/diodes-incorporated/2N7002K-7-W/27803631</x:v>
      </x:c>
      <x:c r="O21" s="10" t="str">
        <x:v>https://www.digikey.jp/en/products/detail/diodes-incorporated/2N7002K-7-W/27803631</x:v>
      </x:c>
    </x:row>
    <x:row r="22" ht="56" customHeight="1">
      <x:c r="A22" s="11" t="str">
        <x:v>R1</x:v>
      </x:c>
      <x:c r="B22" s="11" t="str">
        <x:v>30.1k</x:v>
      </x:c>
      <x:c r="C22" s="11" t="str">
        <x:v>ERJ-6ENF3012V</x:v>
      </x:c>
      <x:c r="D22" s="20" t="n">
        <x:v>1</x:v>
      </x:c>
      <x:c r="E22" s="20" t="n">
        <x:f>D22*$B$4</x:f>
        <x:v>2</x:v>
      </x:c>
      <x:c r="F22" s="21" t="n">
        <x:v>2</x:v>
      </x:c>
      <x:c r="G22" s="19" t="n">
        <x:f>E22+F22</x:f>
        <x:v>4</x:v>
      </x:c>
      <x:c r="H22" s="20" t="str">
        <x:v>P30.1KCCT-ND</x:v>
      </x:c>
      <x:c r="I22" s="20" t="n">
        <x:v>93300</x:v>
      </x:c>
      <x:c r="J22" s="25" t="d">
        <x:v>2026-10-16T00:00:00.000Z</x:v>
      </x:c>
      <x:c r="K22" s="11" t="str">
        <x:v>logger_v2_ups:R_0805_2012Metric</x:v>
      </x:c>
      <x:c r="L22" s="11" t="str">
        <x:v>0805; 30.1kOhm; +/-1%; 0.125W</x:v>
      </x:c>
      <x:c r="M22" s="11" t="str">
        <x:v>抵抗値変更</x:v>
      </x:c>
      <x:c r="N22" s="11" t="str">
        <x:v>https://www.digikey.jp/en/products/detail/panasonic-industry/ERJ-6ENF3012V/111568</x:v>
      </x:c>
      <x:c r="O22" s="11" t="str">
        <x:v>https://www.digikey.com/en/products/detail/panasonic-industry/ERJ-6ENF3012V/111568</x:v>
      </x:c>
    </x:row>
    <x:row r="23" ht="56" customHeight="1">
      <x:c r="A23" s="10" t="str">
        <x:v>R2</x:v>
      </x:c>
      <x:c r="B23" s="10" t="str">
        <x:v>12.1k</x:v>
      </x:c>
      <x:c r="C23" s="10" t="str">
        <x:v>RC0805FR-0712K1L</x:v>
      </x:c>
      <x:c r="D23" s="17" t="n">
        <x:v>1</x:v>
      </x:c>
      <x:c r="E23" s="17" t="n">
        <x:f>D23*$B$4</x:f>
        <x:v>2</x:v>
      </x:c>
      <x:c r="F23" s="18" t="n">
        <x:v>2</x:v>
      </x:c>
      <x:c r="G23" s="19" t="n">
        <x:f>E23+F23</x:f>
        <x:v>4</x:v>
      </x:c>
      <x:c r="H23" s="17" t="str">
        <x:v>311-12.1KCRCT-ND</x:v>
      </x:c>
      <x:c r="I23" s="17" t="n">
        <x:v>1138</x:v>
      </x:c>
      <x:c r="J23" s="24" t="d">
        <x:v>2026-10-16T00:00:00.000Z</x:v>
      </x:c>
      <x:c r="K23" s="10" t="str">
        <x:v>logger_v2_ups:R_0805_2012Metric</x:v>
      </x:c>
      <x:c r="L23" s="10" t="str">
        <x:v>0805; 12.1kOhm; +/-1%; 0.125W</x:v>
      </x:c>
      <x:c r="M23" s="10" t="str">
        <x:v>抵抗値変更</x:v>
      </x:c>
      <x:c r="N23" s="10" t="str">
        <x:v>https://www.digikey.jp/en/products/detail/yageo/RC0805FR-0712K1L/730517</x:v>
      </x:c>
      <x:c r="O23" s="10" t="str">
        <x:v>https://www.digikey.jp/en/products/detail/yageo/RC0805FR-0712K1L/730517</x:v>
      </x:c>
    </x:row>
    <x:row r="24" ht="56" customHeight="1">
      <x:c r="A24" s="11" t="str">
        <x:v>R3</x:v>
      </x:c>
      <x:c r="B24" s="11" t="str">
        <x:v>332k</x:v>
      </x:c>
      <x:c r="C24" s="11" t="str">
        <x:v>RC0805FR-07332KL</x:v>
      </x:c>
      <x:c r="D24" s="20" t="n">
        <x:v>1</x:v>
      </x:c>
      <x:c r="E24" s="20" t="n">
        <x:f>D24*$B$4</x:f>
        <x:v>2</x:v>
      </x:c>
      <x:c r="F24" s="21" t="n">
        <x:v>2</x:v>
      </x:c>
      <x:c r="G24" s="19" t="n">
        <x:f>E24+F24</x:f>
        <x:v>4</x:v>
      </x:c>
      <x:c r="H24" s="20" t="str">
        <x:v>311-332KCRCT-ND</x:v>
      </x:c>
      <x:c r="I24" s="20" t="n">
        <x:v>9171</x:v>
      </x:c>
      <x:c r="J24" s="25" t="d">
        <x:v>2026-10-16T00:00:00.000Z</x:v>
      </x:c>
      <x:c r="K24" s="11" t="str">
        <x:v>logger_v2_ups:R_0805_2012Metric</x:v>
      </x:c>
      <x:c r="L24" s="11" t="str">
        <x:v>0805; 332kOhm; +/-1%; 0.125W</x:v>
      </x:c>
      <x:c r="M24" s="11" t="str">
        <x:v>抵抗値変更</x:v>
      </x:c>
      <x:c r="N24" s="11" t="str">
        <x:v>https://www.digikey.jp/en/products/detail/yageo/RC0805FR-07332KL/727869</x:v>
      </x:c>
      <x:c r="O24" s="11" t="str">
        <x:v>https://www.digikey.jp/en/products/detail/yageo/RC0805FR-07332KL/727869</x:v>
      </x:c>
    </x:row>
    <x:row r="25" ht="56" customHeight="1">
      <x:c r="A25" s="10" t="str">
        <x:v>R4, R6</x:v>
      </x:c>
      <x:c r="B25" s="10" t="str">
        <x:v>1k</x:v>
      </x:c>
      <x:c r="C25" s="10" t="str">
        <x:v>RC0805FR-071KL</x:v>
      </x:c>
      <x:c r="D25" s="17" t="n">
        <x:v>2</x:v>
      </x:c>
      <x:c r="E25" s="17" t="n">
        <x:f>D25*$B$4</x:f>
        <x:v>4</x:v>
      </x:c>
      <x:c r="F25" s="18" t="n">
        <x:v>2</x:v>
      </x:c>
      <x:c r="G25" s="19" t="n">
        <x:f>E25+F25</x:f>
        <x:v>6</x:v>
      </x:c>
      <x:c r="H25" s="17" t="str">
        <x:v>311-1.00KCRCT-ND</x:v>
      </x:c>
      <x:c r="I25" s="17" t="n">
        <x:v>884480</x:v>
      </x:c>
      <x:c r="J25" s="24" t="d">
        <x:v>2026-10-16T00:00:00.000Z</x:v>
      </x:c>
      <x:c r="K25" s="10" t="str">
        <x:v>logger_v2_ups:R_0805_2012Metric</x:v>
      </x:c>
      <x:c r="L25" s="10" t="str">
        <x:v>0805 0.125W +/-1%; 150V working voltage; -55..155C</x:v>
      </x:c>
      <x:c r="M25" s="10" t="str"/>
      <x:c r="N25" s="10" t="str">
        <x:v>https://www.digikey.jp/en/products/detail/yageo/RC0805FR-071KL/727444</x:v>
      </x:c>
      <x:c r="O25" s="10" t="str">
        <x:v>https://www.digikey.jp/en/products/detail/yageo/RC0805FR-071KL/727444</x:v>
      </x:c>
    </x:row>
    <x:row r="26" ht="56" customHeight="1">
      <x:c r="A26" s="11" t="str">
        <x:v>R5</x:v>
      </x:c>
      <x:c r="B26" s="11" t="str">
        <x:v>12.4k</x:v>
      </x:c>
      <x:c r="C26" s="11" t="str">
        <x:v>RC0805FR-0712K4L</x:v>
      </x:c>
      <x:c r="D26" s="20" t="n">
        <x:v>1</x:v>
      </x:c>
      <x:c r="E26" s="20" t="n">
        <x:f>D26*$B$4</x:f>
        <x:v>2</x:v>
      </x:c>
      <x:c r="F26" s="21" t="n">
        <x:v>2</x:v>
      </x:c>
      <x:c r="G26" s="19" t="n">
        <x:f>E26+F26</x:f>
        <x:v>4</x:v>
      </x:c>
      <x:c r="H26" s="20" t="str">
        <x:v>311-12.4KCRCT-ND</x:v>
      </x:c>
      <x:c r="I26" s="20" t="n">
        <x:v>21359</x:v>
      </x:c>
      <x:c r="J26" s="25" t="d">
        <x:v>2026-10-16T00:00:00.000Z</x:v>
      </x:c>
      <x:c r="K26" s="11" t="str">
        <x:v>logger_v2_ups:R_0805_2012Metric</x:v>
      </x:c>
      <x:c r="L26" s="11" t="str">
        <x:v>0805; 12.4kOhm; +/-1%; 0.125W</x:v>
      </x:c>
      <x:c r="M26" s="11" t="str">
        <x:v>抵抗値変更</x:v>
      </x:c>
      <x:c r="N26" s="11" t="str">
        <x:v>https://www.digikey.jp/en/products/detail/yageo/RC0805FR-0712K4L/727572</x:v>
      </x:c>
      <x:c r="O26" s="11" t="str">
        <x:v>https://www.digikey.com/en/products/detail/yageo/RC0805FR-0712K4L/727572</x:v>
      </x:c>
    </x:row>
    <x:row r="27" ht="56" customHeight="1">
      <x:c r="A27" s="10" t="str">
        <x:v>R7</x:v>
      </x:c>
      <x:c r="B27" s="10" t="str">
        <x:v>49.9k</x:v>
      </x:c>
      <x:c r="C27" s="10" t="str">
        <x:v>RC0805FR-0749K9L</x:v>
      </x:c>
      <x:c r="D27" s="17" t="n">
        <x:v>1</x:v>
      </x:c>
      <x:c r="E27" s="17" t="n">
        <x:f>D27*$B$4</x:f>
        <x:v>2</x:v>
      </x:c>
      <x:c r="F27" s="18" t="n">
        <x:v>2</x:v>
      </x:c>
      <x:c r="G27" s="19" t="n">
        <x:f>E27+F27</x:f>
        <x:v>4</x:v>
      </x:c>
      <x:c r="H27" s="17" t="str">
        <x:v>311-49.9KCRCT-ND</x:v>
      </x:c>
      <x:c r="I27" s="17" t="n">
        <x:v>910370</x:v>
      </x:c>
      <x:c r="J27" s="24" t="d">
        <x:v>2026-10-16T00:00:00.000Z</x:v>
      </x:c>
      <x:c r="K27" s="10" t="str">
        <x:v>logger_v2_ups:R_0805_2012Metric</x:v>
      </x:c>
      <x:c r="L27" s="10" t="str">
        <x:v>0805; 49.9kOhm; +/-1%; 0.125W</x:v>
      </x:c>
      <x:c r="M27" s="10" t="str">
        <x:v>抵抗値変更</x:v>
      </x:c>
      <x:c r="N27" s="10" t="str">
        <x:v>https://www.digikey.jp/en/products/detail/yageo/RC0805FR-0749K9L/730932</x:v>
      </x:c>
      <x:c r="O27" s="10" t="str">
        <x:v>https://www.digikey.com/en/products/detail/yageo/RC0805FR-0749K9L/730932</x:v>
      </x:c>
    </x:row>
    <x:row r="28" ht="56" customHeight="1">
      <x:c r="A28" s="11" t="str">
        <x:v>R8</x:v>
      </x:c>
      <x:c r="B28" s="11" t="str">
        <x:v>25.5k</x:v>
      </x:c>
      <x:c r="C28" s="11" t="str">
        <x:v>RC0603FR-0725K5L</x:v>
      </x:c>
      <x:c r="D28" s="20" t="n">
        <x:v>1</x:v>
      </x:c>
      <x:c r="E28" s="20" t="n">
        <x:f>D28*$B$4</x:f>
        <x:v>2</x:v>
      </x:c>
      <x:c r="F28" s="21" t="n">
        <x:v>2</x:v>
      </x:c>
      <x:c r="G28" s="19" t="n">
        <x:f>E28+F28</x:f>
        <x:v>4</x:v>
      </x:c>
      <x:c r="H28" s="20" t="str">
        <x:v>311-25.5KHRCT-ND</x:v>
      </x:c>
      <x:c r="I28" s="20" t="n">
        <x:v>31790</x:v>
      </x:c>
      <x:c r="J28" s="25" t="d">
        <x:v>2026-10-16T00:00:00.000Z</x:v>
      </x:c>
      <x:c r="K28" s="11" t="str">
        <x:v>Resistor_SMD:R_0603_1608Metric</x:v>
      </x:c>
      <x:c r="L28" s="11" t="str">
        <x:v>0603 (1608 metric); 0.1W; +/-1%; 75V maximum working voltage; -55..155C</x:v>
      </x:c>
      <x:c r="M28" s="11" t="str"/>
      <x:c r="N28" s="11" t="str">
        <x:v>https://www.digikey.jp/en/products/detail/yageo/RC0603FR-0725K5L/727088</x:v>
      </x:c>
      <x:c r="O28" s="11" t="str">
        <x:v>https://www.digikey.jp/en/products/detail/yageo/RC0603FR-0725K5L/727088</x:v>
      </x:c>
    </x:row>
    <x:row r="29" ht="56" customHeight="1">
      <x:c r="A29" s="10" t="str">
        <x:v>R9</x:v>
      </x:c>
      <x:c r="B29" s="10" t="str">
        <x:v>2.74M</x:v>
      </x:c>
      <x:c r="C29" s="10" t="str">
        <x:v>RC0603FR-072M74L</x:v>
      </x:c>
      <x:c r="D29" s="17" t="n">
        <x:v>1</x:v>
      </x:c>
      <x:c r="E29" s="17" t="n">
        <x:f>D29*$B$4</x:f>
        <x:v>2</x:v>
      </x:c>
      <x:c r="F29" s="18" t="n">
        <x:v>2</x:v>
      </x:c>
      <x:c r="G29" s="19" t="n">
        <x:f>E29+F29</x:f>
        <x:v>4</x:v>
      </x:c>
      <x:c r="H29" s="17" t="str">
        <x:v>13-RC0603FR-072M74LCT-ND</x:v>
      </x:c>
      <x:c r="I29" s="17" t="n">
        <x:v>7807</x:v>
      </x:c>
      <x:c r="J29" s="24" t="d">
        <x:v>2026-10-16T00:00:00.000Z</x:v>
      </x:c>
      <x:c r="K29" s="10" t="str">
        <x:v>Resistor_SMD:R_0603_1608Metric</x:v>
      </x:c>
      <x:c r="L29" s="10" t="str">
        <x:v>0603; 2.74MOhm; +/-1%; 0.1W</x:v>
      </x:c>
      <x:c r="M29" s="10" t="str">
        <x:v>抵抗値変更</x:v>
      </x:c>
      <x:c r="N29" s="10" t="str">
        <x:v>https://www.digikey.jp/en/products/detail/yageo/RC0603FR-072M74L/12707882</x:v>
      </x:c>
      <x:c r="O29" s="10" t="str">
        <x:v>https://www.digikey.com/en/products/detail/yageo/RC0603FR-072M74L/12707882</x:v>
      </x:c>
    </x:row>
    <x:row r="30" ht="56" customHeight="1">
      <x:c r="A30" s="11" t="str">
        <x:v>R10, R13</x:v>
      </x:c>
      <x:c r="B30" s="11" t="str">
        <x:v>100k</x:v>
      </x:c>
      <x:c r="C30" s="11" t="str">
        <x:v>RC0603FR-07100KL</x:v>
      </x:c>
      <x:c r="D30" s="20" t="n">
        <x:v>2</x:v>
      </x:c>
      <x:c r="E30" s="20" t="n">
        <x:f>D30*$B$4</x:f>
        <x:v>4</x:v>
      </x:c>
      <x:c r="F30" s="21" t="n">
        <x:v>2</x:v>
      </x:c>
      <x:c r="G30" s="19" t="n">
        <x:f>E30+F30</x:f>
        <x:v>6</x:v>
      </x:c>
      <x:c r="H30" s="20" t="str">
        <x:v>311-100KHRCT-ND</x:v>
      </x:c>
      <x:c r="I30" s="20" t="n">
        <x:v>14675</x:v>
      </x:c>
      <x:c r="J30" s="25" t="d">
        <x:v>2026-10-16T00:00:00.000Z</x:v>
      </x:c>
      <x:c r="K30" s="11" t="str">
        <x:v>Resistor_SMD:R_0603_1608Metric</x:v>
      </x:c>
      <x:c r="L30" s="11" t="str">
        <x:v>0603 (1608 metric); 0.1W; +/-1%; 75V maximum working voltage; -55..155C</x:v>
      </x:c>
      <x:c r="M30" s="11" t="str"/>
      <x:c r="N30" s="11" t="str">
        <x:v>https://www.digikey.jp/en/products/detail/yageo/RC0603FR-07100KL/726889</x:v>
      </x:c>
      <x:c r="O30" s="11" t="str">
        <x:v>https://www.digikey.jp/en/products/detail/yageo/RC0603FR-07100KL/726889</x:v>
      </x:c>
    </x:row>
    <x:row r="31" ht="56" customHeight="1">
      <x:c r="A31" s="10" t="str">
        <x:v>R11, R12</x:v>
      </x:c>
      <x:c r="B31" s="10" t="str">
        <x:v>1M</x:v>
      </x:c>
      <x:c r="C31" s="10" t="str">
        <x:v>RC0603FR-071ML</x:v>
      </x:c>
      <x:c r="D31" s="17" t="n">
        <x:v>2</x:v>
      </x:c>
      <x:c r="E31" s="17" t="n">
        <x:f>D31*$B$4</x:f>
        <x:v>4</x:v>
      </x:c>
      <x:c r="F31" s="18" t="n">
        <x:v>2</x:v>
      </x:c>
      <x:c r="G31" s="19" t="n">
        <x:f>E31+F31</x:f>
        <x:v>6</x:v>
      </x:c>
      <x:c r="H31" s="17" t="str">
        <x:v>311-1.00MHRCT-ND</x:v>
      </x:c>
      <x:c r="I31" s="17" t="n">
        <x:v>2048080</x:v>
      </x:c>
      <x:c r="J31" s="24" t="d">
        <x:v>2026-10-16T00:00:00.000Z</x:v>
      </x:c>
      <x:c r="K31" s="10" t="str">
        <x:v>Resistor_SMD:R_0603_1608Metric</x:v>
      </x:c>
      <x:c r="L31" s="10" t="str">
        <x:v>0603 (1608 metric); 0.1W; +/-1%; 75V maximum working voltage; -55..155C</x:v>
      </x:c>
      <x:c r="M31" s="10" t="str"/>
      <x:c r="N31" s="10" t="str">
        <x:v>https://www.digikey.jp/en/products/detail/yageo/RC0603FR-071ML/726844</x:v>
      </x:c>
      <x:c r="O31" s="10" t="str">
        <x:v>https://www.digikey.jp/en/products/detail/yageo/RC0603FR-071ML/726844</x:v>
      </x:c>
    </x:row>
    <x:row r="32" ht="56" customHeight="1">
      <x:c r="A32" s="11" t="str">
        <x:v>R14</x:v>
      </x:c>
      <x:c r="B32" s="11" t="str">
        <x:v>10k</x:v>
      </x:c>
      <x:c r="C32" s="11" t="str">
        <x:v>ERJ-3EKF1002V</x:v>
      </x:c>
      <x:c r="D32" s="20" t="n">
        <x:v>1</x:v>
      </x:c>
      <x:c r="E32" s="20" t="n">
        <x:f>D32*$B$4</x:f>
        <x:v>2</x:v>
      </x:c>
      <x:c r="F32" s="21" t="n">
        <x:v>2</x:v>
      </x:c>
      <x:c r="G32" s="19" t="n">
        <x:f>E32+F32</x:f>
        <x:v>4</x:v>
      </x:c>
      <x:c r="H32" s="20" t="str">
        <x:v>P10.0KHCT-ND</x:v>
      </x:c>
      <x:c r="I32" s="20" t="n">
        <x:v>2135987</x:v>
      </x:c>
      <x:c r="J32" s="25" t="d">
        <x:v>2026-10-16T00:00:00.000Z</x:v>
      </x:c>
      <x:c r="K32" s="11" t="str">
        <x:v>Resistor_SMD:R_0603_1608Metric</x:v>
      </x:c>
      <x:c r="L32" s="11" t="str">
        <x:v>0603; 10kOhm; +/-1%; 0.1W</x:v>
      </x:c>
      <x:c r="M32" s="11" t="str">
        <x:v>誤登録の100kΩ品を修正</x:v>
      </x:c>
      <x:c r="N32" s="11" t="str">
        <x:v>https://www.digikey.jp/en/products/detail/panasonic-industry/ERJ-3EKF1002V/198102</x:v>
      </x:c>
      <x:c r="O32" s="11" t="str">
        <x:v>https://www.digikey.jp/en/products/detail/panasonic-industry/ERJ-3EKF1002V/198102</x:v>
      </x:c>
    </x:row>
    <x:row r="33" ht="56" customHeight="1">
      <x:c r="A33" s="10" t="str">
        <x:v>R15</x:v>
      </x:c>
      <x:c r="B33" s="10" t="str">
        <x:v>2.37M</x:v>
      </x:c>
      <x:c r="C33" s="10" t="str">
        <x:v>RC0603FR-072M37L</x:v>
      </x:c>
      <x:c r="D33" s="17" t="n">
        <x:v>1</x:v>
      </x:c>
      <x:c r="E33" s="17" t="n">
        <x:f>D33*$B$4</x:f>
        <x:v>2</x:v>
      </x:c>
      <x:c r="F33" s="18" t="n">
        <x:v>2</x:v>
      </x:c>
      <x:c r="G33" s="19" t="n">
        <x:f>E33+F33</x:f>
        <x:v>4</x:v>
      </x:c>
      <x:c r="H33" s="17" t="str">
        <x:v>13-RC0603FR-072M37LCT-ND</x:v>
      </x:c>
      <x:c r="I33" s="17" t="n">
        <x:v>7582</x:v>
      </x:c>
      <x:c r="J33" s="24" t="d">
        <x:v>2026-10-16T00:00:00.000Z</x:v>
      </x:c>
      <x:c r="K33" s="10" t="str">
        <x:v>Resistor_SMD:R_0603_1608Metric</x:v>
      </x:c>
      <x:c r="L33" s="10" t="str">
        <x:v>0603; 2.37MOhm; +/-1%; 0.1W</x:v>
      </x:c>
      <x:c r="M33" s="10" t="str">
        <x:v>誤登録の100kΩ品を修正</x:v>
      </x:c>
      <x:c r="N33" s="10" t="str">
        <x:v>https://www.digikey.jp/en/products/detail/yageo/RC0603FR-072M37L/5918308</x:v>
      </x:c>
      <x:c r="O33" s="10" t="str">
        <x:v>https://www.digikey.com/en/products/detail/yageo/RC0603FR-072M37L/5918308</x:v>
      </x:c>
    </x:row>
    <x:row r="34" ht="56" customHeight="1">
      <x:c r="A34" s="11" t="str">
        <x:v>U1</x:v>
      </x:c>
      <x:c r="B34" s="11" t="str">
        <x:v>MAX38890AATE+</x:v>
      </x:c>
      <x:c r="C34" s="11" t="str">
        <x:v>MAX38890AATE+</x:v>
      </x:c>
      <x:c r="D34" s="20" t="n">
        <x:v>1</x:v>
      </x:c>
      <x:c r="E34" s="20" t="n">
        <x:f>D34*$B$4</x:f>
        <x:v>2</x:v>
      </x:c>
      <x:c r="F34" s="21" t="n">
        <x:v>0</x:v>
      </x:c>
      <x:c r="G34" s="19" t="n">
        <x:f>E34+F34</x:f>
        <x:v>2</x:v>
      </x:c>
      <x:c r="H34" s="20" t="str">
        <x:v>505-MAX38890AATE+-ND</x:v>
      </x:c>
      <x:c r="I34" s="20" t="n">
        <x:v>2405</x:v>
      </x:c>
      <x:c r="J34" s="25" t="d">
        <x:v>2026-10-16T00:00:00.000Z</x:v>
      </x:c>
      <x:c r="K34" s="11" t="str">
        <x:v>logger_v2_ups:TQFN-16-1EP_3x3mm_P0.5mm_EP1.23x1.23mm</x:v>
      </x:c>
      <x:c r="L34" s="11" t="str">
        <x:v>VSYS 2.5..5.5V; peak inductor current 1..5A; -40..125C</x:v>
      </x:c>
      <x:c r="M34" s="11" t="str"/>
      <x:c r="N34" s="11" t="str">
        <x:v>https://www.digikey.jp/ja/products/detail/analog-devices-inc-maxim-integrated/MAX38890AATE/18693138</x:v>
      </x:c>
      <x:c r="O34" s="11" t="str">
        <x:v>https://www.digikey.jp/ja/products/detail/analog-devices-inc-maxim-integrated/MAX38890AATE/18693138</x:v>
      </x:c>
    </x:row>
    <x:row r="35" ht="56" customHeight="1">
      <x:c r="A35" s="10" t="str">
        <x:v>U2</x:v>
      </x:c>
      <x:c r="B35" s="10" t="str">
        <x:v>LTC1440IMS8#TRPBF</x:v>
      </x:c>
      <x:c r="C35" s="10" t="str">
        <x:v>LTC1440IMS8#TRPBF</x:v>
      </x:c>
      <x:c r="D35" s="17" t="n">
        <x:v>1</x:v>
      </x:c>
      <x:c r="E35" s="17" t="n">
        <x:f>D35*$B$4</x:f>
        <x:v>2</x:v>
      </x:c>
      <x:c r="F35" s="18" t="n">
        <x:v>0</x:v>
      </x:c>
      <x:c r="G35" s="19" t="n">
        <x:f>E35+F35</x:f>
        <x:v>2</x:v>
      </x:c>
      <x:c r="H35" s="17" t="str">
        <x:v>LTC1440IMS8#TRPBFCT-ND</x:v>
      </x:c>
      <x:c r="I35" s="17" t="n">
        <x:v>348</x:v>
      </x:c>
      <x:c r="J35" s="24" t="d">
        <x:v>2026-10-16T00:00:00.000Z</x:v>
      </x:c>
      <x:c r="K35" s="10" t="str">
        <x:v>Package_SO:MSOP-8_3x3mm_P0.65mm</x:v>
      </x:c>
      <x:c r="L35" s="10" t="str">
        <x:v>Comparator with 1.182V reference; MSOP-8 3x3mm P0.65mm; 2..11V supply</x:v>
      </x:c>
      <x:c r="M35" s="10" t="str">
        <x:v>DigiKey注文番号を補完</x:v>
      </x:c>
      <x:c r="N35" s="10" t="str">
        <x:v>https://www.digikey.jp/en/products/detail/analog-devices-inc/LTC1440IMS8-TRPBF/1621572</x:v>
      </x:c>
      <x:c r="O35" s="10" t="str">
        <x:v>https://www.digikey.com/en/products/detail/analog-devices-inc/LTC1440IMS8-TRPBF/1621572</x:v>
      </x:c>
    </x:row>
    <x:row r="36">
      <x:c r="A36" s="29" t="str">
        <x:v>合計</x:v>
      </x:c>
      <x:c r="B36" s="29"/>
      <x:c r="C36" s="29"/>
      <x:c r="D36" s="30" t="n">
        <x:f>SUM(D9:D35)</x:f>
        <x:v>40</x:v>
      </x:c>
      <x:c r="E36" s="30" t="n">
        <x:f>SUM(E9:E35)</x:f>
        <x:v>80</x:v>
      </x:c>
      <x:c r="F36" s="30" t="n">
        <x:f>SUM(F9:F35)</x:f>
        <x:v>38</x:v>
      </x:c>
      <x:c r="G36" s="31" t="n">
        <x:f>SUM(G9:G35)</x:f>
        <x:v>118</x:v>
      </x:c>
      <x:c r="H36" s="27"/>
      <x:c r="I36" s="27"/>
      <x:c r="J36" s="26"/>
      <x:c r="K36" s="26"/>
      <x:c r="L36" s="26"/>
      <x:c r="M36" s="26"/>
      <x:c r="N36" s="26"/>
      <x:c r="O36" s="26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 t="str">
        <x:v>スーパーキャパシタ価格比較（12個・送料別）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30" customHeight="1">
      <x:c r="A40" s="8" t="str">
        <x:v>選定</x:v>
      </x:c>
      <x:c r="B40" s="8" t="str">
        <x:v>購入先</x:v>
      </x:c>
      <x:c r="C40" s="8" t="str">
        <x:v>メーカー型番</x:v>
      </x:c>
      <x:c r="D40" s="8" t="str">
        <x:v>単価・税抜円</x:v>
      </x:c>
      <x:c r="E40" s="8" t="str">
        <x:v>単価・税込円</x:v>
      </x:c>
      <x:c r="F40" s="8" t="str">
        <x:v>個数</x:v>
      </x:c>
      <x:c r="G40" s="8" t="str">
        <x:v>小計・税込円</x:v>
      </x:c>
      <x:c r="H40" s="8" t="str">
        <x:v>容量・備考</x:v>
      </x:c>
      <x:c r="I40" s="2" t="str">
        <x:v>消費税率</x:v>
      </x:c>
      <x:c r="J40" s="3" t="n">
        <x:v>0.1</x:v>
      </x:c>
      <x:c r="K40" s="2"/>
      <x:c r="L40" s="2"/>
      <x:c r="M40" s="2"/>
      <x:c r="N40" s="2"/>
      <x:c r="O40" s="2"/>
    </x:row>
    <x:row r="41" ht="50" customHeight="1">
      <x:c r="A41" s="9" t="str">
        <x:v>採用</x:v>
      </x:c>
      <x:c r="B41" s="9" t="str">
        <x:v>DigiKey</x:v>
      </x:c>
      <x:c r="C41" s="9" t="str">
        <x:v>HVH1020-2R7705-R</x:v>
      </x:c>
      <x:c r="D41" s="32" t="n">
        <x:v>137.8</x:v>
      </x:c>
      <x:c r="E41" s="32" t="n">
        <x:f>D41*(1+$J$40)</x:f>
        <x:v>151.58</x:v>
      </x:c>
      <x:c r="F41" s="9" t="n">
        <x:v>12</x:v>
      </x:c>
      <x:c r="G41" s="32" t="n">
        <x:f>E41*F41</x:f>
        <x:v>1818.96</x:v>
      </x:c>
      <x:c r="H41" s="9" t="str">
        <x:v>7F ±20%、D10×L20、P5mm</x:v>
      </x:c>
      <x:c r="I41" s="2"/>
      <x:c r="J41" s="2"/>
      <x:c r="K41" s="2"/>
      <x:c r="L41" s="2"/>
      <x:c r="M41" s="2"/>
      <x:c r="N41" s="2" t="str">
        <x:v>https://www.digikey.jp/ja/products/detail/eaton-electronics-division/HVH1020-2R7705-R/28140394</x:v>
      </x:c>
      <x:c r="O41" s="2"/>
    </x:row>
    <x:row r="42" ht="50" customHeight="1">
      <x:c r="A42" s="9" t="str">
        <x:v>比較</x:v>
      </x:c>
      <x:c r="B42" s="9" t="str">
        <x:v>DigiKey</x:v>
      </x:c>
      <x:c r="C42" s="9" t="str">
        <x:v>HVH1025-2R7106-R</x:v>
      </x:c>
      <x:c r="D42" s="32" t="n">
        <x:v>171.5</x:v>
      </x:c>
      <x:c r="E42" s="32" t="n">
        <x:f>D42*(1+$J$40)</x:f>
        <x:v>188.65</x:v>
      </x:c>
      <x:c r="F42" s="9" t="n">
        <x:v>12</x:v>
      </x:c>
      <x:c r="G42" s="32" t="n">
        <x:f>E42*F42</x:f>
        <x:v>2263.8</x:v>
      </x:c>
      <x:c r="H42" s="9" t="str">
        <x:v>10F ±20%、D10×L25、P5mm</x:v>
      </x:c>
      <x:c r="I42" s="2"/>
      <x:c r="J42" s="2"/>
      <x:c r="K42" s="2"/>
      <x:c r="L42" s="2"/>
      <x:c r="M42" s="2"/>
      <x:c r="N42" s="2" t="str">
        <x:v>https://www.digikey.jp/en/products/detail/eaton-electronics-division/HVH1025-2R7106-R/28140105</x:v>
      </x:c>
      <x:c r="O42" s="2"/>
    </x:row>
    <x:row r="43" ht="50" customHeight="1">
      <x:c r="A43" s="9" t="str">
        <x:v>旧品</x:v>
      </x:c>
      <x:c r="B43" s="9" t="str">
        <x:v>秋月</x:v>
      </x:c>
      <x:c r="C43" s="9" t="str">
        <x:v>HP-2R7-J106UY LR</x:v>
      </x:c>
      <x:c r="D43" s="32"/>
      <x:c r="E43" s="32" t="n">
        <x:v>200</x:v>
      </x:c>
      <x:c r="F43" s="9" t="n">
        <x:v>12</x:v>
      </x:c>
      <x:c r="G43" s="32" t="n">
        <x:f>E43*F43</x:f>
        <x:v>2400</x:v>
      </x:c>
      <x:c r="H43" s="9" t="str">
        <x:v>10F -10/+20%、D10×L25、P5mm</x:v>
      </x:c>
      <x:c r="I43" s="2"/>
      <x:c r="J43" s="2"/>
      <x:c r="K43" s="2"/>
      <x:c r="L43" s="2"/>
      <x:c r="M43" s="2"/>
      <x:c r="N43" s="2" t="str">
        <x:v>https://akizukidenshi.com/catalog/g/g104251</x:v>
      </x:c>
      <x:c r="O43" s="2"/>
    </x:row>
    <x:row r="44">
      <x:c r="A44" s="2"/>
      <x:c r="B44" s="2"/>
      <x:c r="C44" s="2"/>
      <x:c r="D44" s="2"/>
      <x:c r="E44" s="2"/>
      <x:c r="F44" s="2" t="str">
        <x:v>旧品との差</x:v>
      </x:c>
      <x:c r="G44" s="33" t="n">
        <x:f>G43-G41</x:f>
        <x:v>581.04</x:v>
      </x:c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 t="str">
        <x:v>電気：2直列×3並列の公称合成容量は15F→10.5F。電圧設定は維持。DC ESR最大113mΩ/セル。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 t="str">
        <x:v>https://www.eaton.com/content/dam/eaton/products/electronic-components/resources/data-sheet/eaton-hvh-supercapacitors-cylindrical-cells-high-density-data-sheet-elx1538-en.pdf</x:v>
      </x:c>
      <x:c r="O46" s="2"/>
    </x:row>
    <x:row r="47">
      <x:c r="A47" s="2" t="str">
        <x:v>機械：本体最大φ10.5×22mm、端子間隔5±0.5mm。リードを90度曲げ、穴列から本体まで3mm。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 t="str">
        <x:v>基板配線・パッド位置は維持。専用フットプリントと公称3D形状へ更新。寸法公差はコートヤードに反映。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</x:sheetData>
  <x:mergeCells>
    <x:mergeCell ref="A46:J46"/>
  </x:mergeCells>
  <x:pageMargins left="0.7" right="0.7" top="0.75" bottom="0.75" header="0.3" footer="0.3"/>
</x:worksheet>
</file>
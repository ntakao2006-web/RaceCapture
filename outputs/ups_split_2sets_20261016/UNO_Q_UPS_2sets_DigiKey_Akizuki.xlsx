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0cd699073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giKey" sheetId="1" r:id="R1ba7b79cbe9f4e66"/>
    <x:sheet xmlns:r="http://schemas.openxmlformats.org/officeDocument/2006/relationships" name="秋月" sheetId="2" r:id="R0ebbf640c484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¥#,##0"/>
  </x:numFmts>
  <x:fonts count="5">
    <x:font>
      <x:sz val="11"/>
      <x:name val="Carlito"/>
    </x:font>
    <x:font>
      <x:sz val="10"/>
      <x:color rgb="FF263747"/>
      <x:name val="Arial"/>
    </x:font>
    <x:font>
      <x:b/>
      <x:sz val="17"/>
      <x:color rgb="FF163D52"/>
      <x:name val="Arial"/>
    </x:font>
    <x:font>
      <x:b/>
      <x:sz val="10"/>
      <x:color rgb="FFFFFFFF"/>
      <x:name val="Arial"/>
    </x:font>
    <x:font>
      <x:b/>
      <x:sz val="10"/>
      <x:color rgb="FF2637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D52"/>
      </x:patternFill>
    </x:fill>
    <x:fill>
      <x:patternFill patternType="solid">
        <x:fgColor rgb="FFF0F5F7"/>
      </x:patternFill>
    </x:fill>
    <x:fill>
      <x:patternFill patternType="solid">
        <x:fgColor rgb="FFDDF1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b3c9b19b04747" /><Relationship Type="http://schemas.openxmlformats.org/officeDocument/2006/relationships/theme" Target="/xl/theme/theme1.xml" Id="Rc6f2a85d85454cb5" /><Relationship Type="http://schemas.openxmlformats.org/officeDocument/2006/relationships/sharedStrings" Target="/xl/sharedStrings.xml" Id="R8e69ff04d9b14989" /><Relationship Type="http://schemas.openxmlformats.org/officeDocument/2006/relationships/worksheet" Target="/xl/worksheets/sheet1.xml" Id="R1ba7b79cbe9f4e66" /><Relationship Type="http://schemas.openxmlformats.org/officeDocument/2006/relationships/worksheet" Target="/xl/worksheets/sheet2.xml" Id="R0ebbf640c484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0" hidden="0" customWidth="1"/>
    <x:col min="4" max="4" width="9" hidden="0" customWidth="1"/>
    <x:col min="5" max="5" width="9" hidden="0" customWidth="1"/>
    <x:col min="6" max="6" width="10" hidden="0" customWidth="1"/>
    <x:col min="7" max="7" width="9" hidden="0" customWidth="1"/>
    <x:col min="8" max="8" width="35" hidden="0" customWidth="1"/>
    <x:col min="9" max="9" width="55" hidden="0" customWidth="1"/>
    <x:col min="10" max="10" width="70" hidden="0" customWidth="1"/>
    <x:col min="11" max="11" width="70" hidden="0" customWidth="1"/>
    <x:col min="12" max="12" width="5" hidden="0" customWidth="1"/>
    <x:col min="13" max="13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UNO Q UPS｜DigiKey用 BOM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 t="str">
        <x:v>2セット分・22品種 / 必要66個 / 注文192個 / 2026-10-16確認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製作セット数</x:v>
      </x:c>
      <x:c r="B4" s="1" t="n">
        <x:v>2</x:v>
      </x:c>
      <x:c r="C4" s="1" t="str">
        <x:v>抵抗・MLCCは各10個。その他は必要数。注文はF列。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IC・電源部品・E96抵抗・7FスーパーキャパシタはDigiKey。秋月分は別シート。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数量割引を使う購入数です。全品の価格・送料を含む総額は未集計。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4" customHeight="1">
      <x:c r="A8" s="6" t="str">
        <x:v>部品番号</x:v>
      </x:c>
      <x:c r="B8" s="6" t="str">
        <x:v>値</x:v>
      </x:c>
      <x:c r="C8" s="6" t="str">
        <x:v>購入メーカー型番</x:v>
      </x:c>
      <x:c r="D8" s="6" t="str">
        <x:v>1セット</x:v>
      </x:c>
      <x:c r="E8" s="6" t="str">
        <x:v>必要数</x:v>
      </x:c>
      <x:c r="F8" s="6" t="str">
        <x:v>注文数</x:v>
      </x:c>
      <x:c r="G8" s="6" t="str">
        <x:v>余り</x:v>
      </x:c>
      <x:c r="H8" s="6" t="str">
        <x:v>DigiKey注文番号</x:v>
      </x:c>
      <x:c r="I8" s="6" t="str">
        <x:v>メーカー / フットプリント</x:v>
      </x:c>
      <x:c r="J8" s="6" t="str">
        <x:v>仕様</x:v>
      </x:c>
      <x:c r="K8" s="6" t="str">
        <x:v>備考</x:v>
      </x:c>
      <x:c r="L8" s="6" t="str"/>
      <x:c r="M8" s="6" t="str">
        <x:v>購入ページ</x:v>
      </x:c>
      <x:c r="N8" s="1"/>
      <x:c r="O8" s="1"/>
      <x:c r="P8" s="1"/>
      <x:c r="Q8" s="1"/>
    </x:row>
    <x:row r="9" ht="58" customHeight="1">
      <x:c r="A9" s="10" t="str">
        <x:v>C1, C2</x:v>
      </x:c>
      <x:c r="B9" s="10" t="str">
        <x:v>47u</x:v>
      </x:c>
      <x:c r="C9" s="10" t="str">
        <x:v>25SVPF47M</x:v>
      </x:c>
      <x:c r="D9" s="19" t="n">
        <x:v>2</x:v>
      </x:c>
      <x:c r="E9" s="19" t="n">
        <x:f>D9*$B$4</x:f>
        <x:v>4</x:v>
      </x:c>
      <x:c r="F9" s="20" t="n">
        <x:v>4</x:v>
      </x:c>
      <x:c r="G9" s="19" t="n">
        <x:f>F9-E9</x:f>
        <x:v>0</x:v>
      </x:c>
      <x:c r="H9" s="10" t="str">
        <x:v>P16513CT-ND</x:v>
      </x:c>
      <x:c r="I9" s="10" t="str">
        <x:v>Panasonic Industry
logger_v2_ups:CP_Elec_6.3x5.9</x:v>
      </x:c>
      <x:c r="J9" s="10" t="str">
        <x:v>47uF 25V aluminum solid polymer; ESR 30mohm; ripple 2.8A @100kHz 105C</x:v>
      </x:c>
      <x:c r="K9" s="10" t="str"/>
      <x:c r="L9" s="10" t="str"/>
      <x:c r="M9" s="10" t="str">
        <x:v>https://www.digikey.jp/en/products/detail/panasonic-industry/25SVPF47M/4204320</x:v>
      </x:c>
      <x:c r="N9" s="1"/>
      <x:c r="O9" s="1"/>
      <x:c r="P9" s="1"/>
      <x:c r="Q9" s="1"/>
    </x:row>
    <x:row r="10" ht="58" customHeight="1">
      <x:c r="A10" s="11" t="str">
        <x:v>C3, C4, C9</x:v>
      </x:c>
      <x:c r="B10" s="11" t="str">
        <x:v>22u</x:v>
      </x:c>
      <x:c r="C10" s="11" t="str">
        <x:v>EMK316BB7226ML-T</x:v>
      </x:c>
      <x:c r="D10" s="21" t="n">
        <x:v>3</x:v>
      </x:c>
      <x:c r="E10" s="21" t="n">
        <x:f>D10*$B$4</x:f>
        <x:v>6</x:v>
      </x:c>
      <x:c r="F10" s="20" t="n">
        <x:v>10</x:v>
      </x:c>
      <x:c r="G10" s="21" t="n">
        <x:f>F10-E10</x:f>
        <x:v>4</x:v>
      </x:c>
      <x:c r="H10" s="11" t="str">
        <x:v>587-4319-1-ND</x:v>
      </x:c>
      <x:c r="I10" s="11" t="str">
        <x:v>Taiyo Yuden
Capacitor_SMD:C_1206_3216Metric</x:v>
      </x:c>
      <x:c r="J10" s="11" t="str">
        <x:v>22uF +/-20%; 16V; X7R MLCC; 3216 (1206); -55..125C; non-polarized</x:v>
      </x:c>
      <x:c r="K10" s="11" t="str"/>
      <x:c r="L10" s="11" t="str"/>
      <x:c r="M10" s="11" t="str">
        <x:v>https://www.digikey.jp/en/products/detail/taiyo-yuden/EMK316BB7226ML-T/5361263</x:v>
      </x:c>
      <x:c r="N10" s="1"/>
      <x:c r="O10" s="1"/>
      <x:c r="P10" s="1"/>
      <x:c r="Q10" s="1"/>
    </x:row>
    <x:row r="11" ht="58" customHeight="1">
      <x:c r="A11" s="10" t="str">
        <x:v>C6, C7, C8, C12, C13, C14</x:v>
      </x:c>
      <x:c r="B11" s="10" t="str">
        <x:v>7F(2.7V)</x:v>
      </x:c>
      <x:c r="C11" s="10" t="str">
        <x:v>HVH1020-2R7705-R</x:v>
      </x:c>
      <x:c r="D11" s="19" t="n">
        <x:v>6</x:v>
      </x:c>
      <x:c r="E11" s="19" t="n">
        <x:f>D11*$B$4</x:f>
        <x:v>12</x:v>
      </x:c>
      <x:c r="F11" s="20" t="n">
        <x:v>12</x:v>
      </x:c>
      <x:c r="G11" s="19" t="n">
        <x:f>F11-E11</x:f>
        <x:v>0</x:v>
      </x:c>
      <x:c r="H11" s="10" t="str">
        <x:v>283-HVH1020-2R7705-R-ND</x:v>
      </x:c>
      <x:c r="I11" s="10" t="str">
        <x:v>Eaton - Electronics Division
logger_v2_ups:Eaton_HVH1020-2R7705-R_D10_L20_P5_Horizontal</x:v>
      </x:c>
      <x:c r="J11" s="10" t="str">
        <x:v>7F +/-20%; 2.7V; ESR DC max113mohm / 1kHz max75mohm; -40..70C; D10(+0.5) L20(+/-2) P5(+/-0.5)mm</x:v>
      </x:c>
      <x:c r="K11" s="10" t="str">
        <x:v>価格優先で7F採用。旧10F比で公称エネルギー70%。横置き・90度リード曲げ、実機保持時間未検証。</x:v>
      </x:c>
      <x:c r="L11" s="10" t="str"/>
      <x:c r="M11" s="10" t="str">
        <x:v>https://www.digikey.jp/ja/products/detail/eaton-electronics-division/HVH1020-2R7705-R/28140394</x:v>
      </x:c>
      <x:c r="N11" s="1"/>
      <x:c r="O11" s="1"/>
      <x:c r="P11" s="1"/>
      <x:c r="Q11" s="1"/>
    </x:row>
    <x:row r="12" ht="58" customHeight="1">
      <x:c r="A12" s="11" t="str">
        <x:v>C10</x:v>
      </x:c>
      <x:c r="B12" s="11" t="str">
        <x:v>2.2n</x:v>
      </x:c>
      <x:c r="C12" s="11" t="str">
        <x:v>C0805C222J5GACTU</x:v>
      </x:c>
      <x:c r="D12" s="21" t="n">
        <x:v>1</x:v>
      </x:c>
      <x:c r="E12" s="21" t="n">
        <x:f>D12*$B$4</x:f>
        <x:v>2</x:v>
      </x:c>
      <x:c r="F12" s="20" t="n">
        <x:v>10</x:v>
      </x:c>
      <x:c r="G12" s="21" t="n">
        <x:f>F12-E12</x:f>
        <x:v>8</x:v>
      </x:c>
      <x:c r="H12" s="11" t="str">
        <x:v>399-C0805C222J5GACTUCT-ND</x:v>
      </x:c>
      <x:c r="I12" s="11" t="str">
        <x:v>KEMET
logger_v2_ups:C_0805_2012Metric</x:v>
      </x:c>
      <x:c r="J12" s="11" t="str">
        <x:v>2.2nF 50V C0G +/-5% MLCC 0805</x:v>
      </x:c>
      <x:c r="K12" s="11" t="str"/>
      <x:c r="L12" s="11" t="str"/>
      <x:c r="M12" s="11" t="str">
        <x:v>https://www.digikey.jp/en/products/detail/kemet/C0805C222J5GACTU/2212256</x:v>
      </x:c>
      <x:c r="N12" s="1"/>
      <x:c r="O12" s="1"/>
      <x:c r="P12" s="1"/>
      <x:c r="Q12" s="1"/>
    </x:row>
    <x:row r="13" ht="58" customHeight="1">
      <x:c r="A13" s="10" t="str">
        <x:v>C11</x:v>
      </x:c>
      <x:c r="B13" s="10" t="str">
        <x:v>0.47u</x:v>
      </x:c>
      <x:c r="C13" s="10" t="str">
        <x:v>C0805C474K5RACTU</x:v>
      </x:c>
      <x:c r="D13" s="19" t="n">
        <x:v>1</x:v>
      </x:c>
      <x:c r="E13" s="19" t="n">
        <x:f>D13*$B$4</x:f>
        <x:v>2</x:v>
      </x:c>
      <x:c r="F13" s="20" t="n">
        <x:v>10</x:v>
      </x:c>
      <x:c r="G13" s="19" t="n">
        <x:f>F13-E13</x:f>
        <x:v>8</x:v>
      </x:c>
      <x:c r="H13" s="10" t="str">
        <x:v>399-C0805C474K5RACTUCT-ND</x:v>
      </x:c>
      <x:c r="I13" s="10" t="str">
        <x:v>KEMET
logger_v2_ups:C_0805_2012Metric</x:v>
      </x:c>
      <x:c r="J13" s="10" t="str">
        <x:v>0.47uF 50V X7R +/-10% MLCC 0805</x:v>
      </x:c>
      <x:c r="K13" s="10" t="str"/>
      <x:c r="L13" s="10" t="str"/>
      <x:c r="M13" s="10" t="str">
        <x:v>https://www.digikey.jp/en/products/detail/kemet/C0805C474K5RACTU/2212887</x:v>
      </x:c>
      <x:c r="N13" s="1"/>
      <x:c r="O13" s="1"/>
      <x:c r="P13" s="1"/>
      <x:c r="Q13" s="1"/>
    </x:row>
    <x:row r="14" ht="58" customHeight="1">
      <x:c r="A14" s="11" t="str">
        <x:v>C15</x:v>
      </x:c>
      <x:c r="B14" s="11" t="str">
        <x:v>0.1u</x:v>
      </x:c>
      <x:c r="C14" s="11" t="str">
        <x:v>C0603C104K5RACTU</x:v>
      </x:c>
      <x:c r="D14" s="21" t="n">
        <x:v>1</x:v>
      </x:c>
      <x:c r="E14" s="21" t="n">
        <x:f>D14*$B$4</x:f>
        <x:v>2</x:v>
      </x:c>
      <x:c r="F14" s="20" t="n">
        <x:v>10</x:v>
      </x:c>
      <x:c r="G14" s="21" t="n">
        <x:f>F14-E14</x:f>
        <x:v>8</x:v>
      </x:c>
      <x:c r="H14" s="11" t="str">
        <x:v>399-C0603C104K5RACTUCT-ND</x:v>
      </x:c>
      <x:c r="I14" s="11" t="str">
        <x:v>KEMET
Capacitor_SMD:C_0603_1608Metric</x:v>
      </x:c>
      <x:c r="J14" s="11" t="str">
        <x:v>0.1uF; 50V; X7R MLCC; +/-10%; 0603 (1608 metric)</x:v>
      </x:c>
      <x:c r="K14" s="11" t="str"/>
      <x:c r="L14" s="11" t="str"/>
      <x:c r="M14" s="11" t="str">
        <x:v>https://www.digikey.jp/en/products/detail/kemet/C0603C104K5RACTU/1465623</x:v>
      </x:c>
      <x:c r="N14" s="1"/>
      <x:c r="O14" s="1"/>
      <x:c r="P14" s="1"/>
      <x:c r="Q14" s="1"/>
    </x:row>
    <x:row r="15" ht="58" customHeight="1">
      <x:c r="A15" s="10" t="str">
        <x:v>C16</x:v>
      </x:c>
      <x:c r="B15" s="10" t="str">
        <x:v>10n</x:v>
      </x:c>
      <x:c r="C15" s="10" t="str">
        <x:v>C0603C103K5RACTU</x:v>
      </x:c>
      <x:c r="D15" s="19" t="n">
        <x:v>1</x:v>
      </x:c>
      <x:c r="E15" s="19" t="n">
        <x:f>D15*$B$4</x:f>
        <x:v>2</x:v>
      </x:c>
      <x:c r="F15" s="20" t="n">
        <x:v>10</x:v>
      </x:c>
      <x:c r="G15" s="19" t="n">
        <x:f>F15-E15</x:f>
        <x:v>8</x:v>
      </x:c>
      <x:c r="H15" s="10" t="str">
        <x:v>399-C0603C103K5RACTUCT-ND</x:v>
      </x:c>
      <x:c r="I15" s="10" t="str">
        <x:v>KEMET
Capacitor_SMD:C_0603_1608Metric</x:v>
      </x:c>
      <x:c r="J15" s="10" t="str">
        <x:v>10nF; 50V; X7R MLCC; +/-10%; 0603 (1608 metric)</x:v>
      </x:c>
      <x:c r="K15" s="10" t="str"/>
      <x:c r="L15" s="10" t="str"/>
      <x:c r="M15" s="10" t="str">
        <x:v>https://www.digikey.jp/en/products/detail/kemet/C0603C103K5RACTU/411090</x:v>
      </x:c>
      <x:c r="N15" s="1"/>
      <x:c r="O15" s="1"/>
      <x:c r="P15" s="1"/>
      <x:c r="Q15" s="1"/>
    </x:row>
    <x:row r="16" ht="58" customHeight="1">
      <x:c r="A16" s="11" t="str">
        <x:v>L1</x:v>
      </x:c>
      <x:c r="B16" s="11" t="str">
        <x:v>0.47u</x:v>
      </x:c>
      <x:c r="C16" s="11" t="str">
        <x:v>744355147</x:v>
      </x:c>
      <x:c r="D16" s="21" t="n">
        <x:v>1</x:v>
      </x:c>
      <x:c r="E16" s="21" t="n">
        <x:f>D16*$B$4</x:f>
        <x:v>2</x:v>
      </x:c>
      <x:c r="F16" s="20" t="n">
        <x:v>2</x:v>
      </x:c>
      <x:c r="G16" s="21" t="n">
        <x:f>F16-E16</x:f>
        <x:v>0</x:v>
      </x:c>
      <x:c r="H16" s="11" t="str">
        <x:v>732-744355147CT-ND</x:v>
      </x:c>
      <x:c r="I16" s="11" t="str">
        <x:v>Wurth Elektronik
logger_v2_ups:L_Wuerth_HCI-1365</x:v>
      </x:c>
      <x:c r="J16" s="11" t="str">
        <x:v>0.47uH +/-20%; Ir 30A; Isat10% 25A; Isat30% 50A; DCR 0.67mohm; 13x12.8x6.5mm</x:v>
      </x:c>
      <x:c r="K16" s="11" t="str"/>
      <x:c r="L16" s="11" t="str"/>
      <x:c r="M16" s="11" t="str">
        <x:v>https://www.digikey.jp/en/products/detail/w%C3%BCrth-elektronik/744355147/1638527</x:v>
      </x:c>
      <x:c r="N16" s="1"/>
      <x:c r="O16" s="1"/>
      <x:c r="P16" s="1"/>
      <x:c r="Q16" s="1"/>
    </x:row>
    <x:row r="17" ht="58" customHeight="1">
      <x:c r="A17" s="10" t="str">
        <x:v>R1</x:v>
      </x:c>
      <x:c r="B17" s="10" t="str">
        <x:v>30.1k</x:v>
      </x:c>
      <x:c r="C17" s="10" t="str">
        <x:v>ERJ-6ENF3012V</x:v>
      </x:c>
      <x:c r="D17" s="19" t="n">
        <x:v>1</x:v>
      </x:c>
      <x:c r="E17" s="19" t="n">
        <x:f>D17*$B$4</x:f>
        <x:v>2</x:v>
      </x:c>
      <x:c r="F17" s="20" t="n">
        <x:v>10</x:v>
      </x:c>
      <x:c r="G17" s="19" t="n">
        <x:f>F17-E17</x:f>
        <x:v>8</x:v>
      </x:c>
      <x:c r="H17" s="10" t="str">
        <x:v>P30.1KCCT-ND</x:v>
      </x:c>
      <x:c r="I17" s="10" t="str">
        <x:v>Panasonic Industry
logger_v2_ups:R_0805_2012Metric</x:v>
      </x:c>
      <x:c r="J17" s="10" t="str">
        <x:v>0805; 30.1kOhm; +/-1%; 0.125W</x:v>
      </x:c>
      <x:c r="K17" s="10" t="str">
        <x:v>抵抗値変更</x:v>
      </x:c>
      <x:c r="L17" s="10" t="str"/>
      <x:c r="M17" s="10" t="str">
        <x:v>https://www.digikey.jp/en/products/detail/panasonic-industry/ERJ-6ENF3012V/111568</x:v>
      </x:c>
      <x:c r="N17" s="1"/>
      <x:c r="O17" s="1"/>
      <x:c r="P17" s="1"/>
      <x:c r="Q17" s="1"/>
    </x:row>
    <x:row r="18" ht="58" customHeight="1">
      <x:c r="A18" s="11" t="str">
        <x:v>R2</x:v>
      </x:c>
      <x:c r="B18" s="11" t="str">
        <x:v>12.1k</x:v>
      </x:c>
      <x:c r="C18" s="11" t="str">
        <x:v>RC0805FR-0712K1L</x:v>
      </x:c>
      <x:c r="D18" s="21" t="n">
        <x:v>1</x:v>
      </x:c>
      <x:c r="E18" s="21" t="n">
        <x:f>D18*$B$4</x:f>
        <x:v>2</x:v>
      </x:c>
      <x:c r="F18" s="20" t="n">
        <x:v>10</x:v>
      </x:c>
      <x:c r="G18" s="21" t="n">
        <x:f>F18-E18</x:f>
        <x:v>8</x:v>
      </x:c>
      <x:c r="H18" s="11" t="str">
        <x:v>311-12.1KCRCT-ND</x:v>
      </x:c>
      <x:c r="I18" s="11" t="str">
        <x:v>YAGEO
logger_v2_ups:R_0805_2012Metric</x:v>
      </x:c>
      <x:c r="J18" s="11" t="str">
        <x:v>0805; 12.1kOhm; +/-1%; 0.125W</x:v>
      </x:c>
      <x:c r="K18" s="11" t="str">
        <x:v>抵抗値変更</x:v>
      </x:c>
      <x:c r="L18" s="11" t="str"/>
      <x:c r="M18" s="11" t="str">
        <x:v>https://www.digikey.jp/en/products/detail/yageo/RC0805FR-0712K1L/730517</x:v>
      </x:c>
      <x:c r="N18" s="1"/>
      <x:c r="O18" s="1"/>
      <x:c r="P18" s="1"/>
      <x:c r="Q18" s="1"/>
    </x:row>
    <x:row r="19" ht="58" customHeight="1">
      <x:c r="A19" s="10" t="str">
        <x:v>R3</x:v>
      </x:c>
      <x:c r="B19" s="10" t="str">
        <x:v>332k</x:v>
      </x:c>
      <x:c r="C19" s="10" t="str">
        <x:v>RC0805FR-07332KL</x:v>
      </x:c>
      <x:c r="D19" s="19" t="n">
        <x:v>1</x:v>
      </x:c>
      <x:c r="E19" s="19" t="n">
        <x:f>D19*$B$4</x:f>
        <x:v>2</x:v>
      </x:c>
      <x:c r="F19" s="20" t="n">
        <x:v>10</x:v>
      </x:c>
      <x:c r="G19" s="19" t="n">
        <x:f>F19-E19</x:f>
        <x:v>8</x:v>
      </x:c>
      <x:c r="H19" s="10" t="str">
        <x:v>311-332KCRCT-ND</x:v>
      </x:c>
      <x:c r="I19" s="10" t="str">
        <x:v>YAGEO
logger_v2_ups:R_0805_2012Metric</x:v>
      </x:c>
      <x:c r="J19" s="10" t="str">
        <x:v>0805; 332kOhm; +/-1%; 0.125W</x:v>
      </x:c>
      <x:c r="K19" s="10" t="str">
        <x:v>抵抗値変更</x:v>
      </x:c>
      <x:c r="L19" s="10" t="str"/>
      <x:c r="M19" s="10" t="str">
        <x:v>https://www.digikey.jp/en/products/detail/yageo/RC0805FR-07332KL/727869</x:v>
      </x:c>
      <x:c r="N19" s="1"/>
      <x:c r="O19" s="1"/>
      <x:c r="P19" s="1"/>
      <x:c r="Q19" s="1"/>
    </x:row>
    <x:row r="20" ht="58" customHeight="1">
      <x:c r="A20" s="11" t="str">
        <x:v>R4, R6</x:v>
      </x:c>
      <x:c r="B20" s="11" t="str">
        <x:v>1k</x:v>
      </x:c>
      <x:c r="C20" s="11" t="str">
        <x:v>RC0805FR-071KL</x:v>
      </x:c>
      <x:c r="D20" s="21" t="n">
        <x:v>2</x:v>
      </x:c>
      <x:c r="E20" s="21" t="n">
        <x:f>D20*$B$4</x:f>
        <x:v>4</x:v>
      </x:c>
      <x:c r="F20" s="20" t="n">
        <x:v>10</x:v>
      </x:c>
      <x:c r="G20" s="21" t="n">
        <x:f>F20-E20</x:f>
        <x:v>6</x:v>
      </x:c>
      <x:c r="H20" s="11" t="str">
        <x:v>311-1.00KCRCT-ND</x:v>
      </x:c>
      <x:c r="I20" s="11" t="str">
        <x:v>YAGEO
logger_v2_ups:R_0805_2012Metric</x:v>
      </x:c>
      <x:c r="J20" s="11" t="str">
        <x:v>0805 0.125W +/-1%; 150V working voltage; -55..155C</x:v>
      </x:c>
      <x:c r="K20" s="11" t="str"/>
      <x:c r="L20" s="11" t="str"/>
      <x:c r="M20" s="11" t="str">
        <x:v>https://www.digikey.jp/en/products/detail/yageo/RC0805FR-071KL/727444</x:v>
      </x:c>
      <x:c r="N20" s="1"/>
      <x:c r="O20" s="1"/>
      <x:c r="P20" s="1"/>
      <x:c r="Q20" s="1"/>
    </x:row>
    <x:row r="21" ht="58" customHeight="1">
      <x:c r="A21" s="10" t="str">
        <x:v>R5</x:v>
      </x:c>
      <x:c r="B21" s="10" t="str">
        <x:v>12.4k</x:v>
      </x:c>
      <x:c r="C21" s="10" t="str">
        <x:v>RC0805FR-0712K4L</x:v>
      </x:c>
      <x:c r="D21" s="19" t="n">
        <x:v>1</x:v>
      </x:c>
      <x:c r="E21" s="19" t="n">
        <x:f>D21*$B$4</x:f>
        <x:v>2</x:v>
      </x:c>
      <x:c r="F21" s="20" t="n">
        <x:v>10</x:v>
      </x:c>
      <x:c r="G21" s="19" t="n">
        <x:f>F21-E21</x:f>
        <x:v>8</x:v>
      </x:c>
      <x:c r="H21" s="10" t="str">
        <x:v>311-12.4KCRCT-ND</x:v>
      </x:c>
      <x:c r="I21" s="10" t="str">
        <x:v>YAGEO
logger_v2_ups:R_0805_2012Metric</x:v>
      </x:c>
      <x:c r="J21" s="10" t="str">
        <x:v>0805; 12.4kOhm; +/-1%; 0.125W</x:v>
      </x:c>
      <x:c r="K21" s="10" t="str">
        <x:v>抵抗値変更</x:v>
      </x:c>
      <x:c r="L21" s="10" t="str"/>
      <x:c r="M21" s="10" t="str">
        <x:v>https://www.digikey.jp/en/products/detail/yageo/RC0805FR-0712K4L/727572</x:v>
      </x:c>
      <x:c r="N21" s="1"/>
      <x:c r="O21" s="1"/>
      <x:c r="P21" s="1"/>
      <x:c r="Q21" s="1"/>
    </x:row>
    <x:row r="22" ht="58" customHeight="1">
      <x:c r="A22" s="11" t="str">
        <x:v>R7</x:v>
      </x:c>
      <x:c r="B22" s="11" t="str">
        <x:v>49.9k</x:v>
      </x:c>
      <x:c r="C22" s="11" t="str">
        <x:v>RC0805FR-0749K9L</x:v>
      </x:c>
      <x:c r="D22" s="21" t="n">
        <x:v>1</x:v>
      </x:c>
      <x:c r="E22" s="21" t="n">
        <x:f>D22*$B$4</x:f>
        <x:v>2</x:v>
      </x:c>
      <x:c r="F22" s="20" t="n">
        <x:v>10</x:v>
      </x:c>
      <x:c r="G22" s="21" t="n">
        <x:f>F22-E22</x:f>
        <x:v>8</x:v>
      </x:c>
      <x:c r="H22" s="11" t="str">
        <x:v>311-49.9KCRCT-ND</x:v>
      </x:c>
      <x:c r="I22" s="11" t="str">
        <x:v>YAGEO
logger_v2_ups:R_0805_2012Metric</x:v>
      </x:c>
      <x:c r="J22" s="11" t="str">
        <x:v>0805; 49.9kOhm; +/-1%; 0.125W</x:v>
      </x:c>
      <x:c r="K22" s="11" t="str">
        <x:v>抵抗値変更</x:v>
      </x:c>
      <x:c r="L22" s="11" t="str"/>
      <x:c r="M22" s="11" t="str">
        <x:v>https://www.digikey.jp/en/products/detail/yageo/RC0805FR-0749K9L/730932</x:v>
      </x:c>
      <x:c r="N22" s="1"/>
      <x:c r="O22" s="1"/>
      <x:c r="P22" s="1"/>
      <x:c r="Q22" s="1"/>
    </x:row>
    <x:row r="23" ht="58" customHeight="1">
      <x:c r="A23" s="10" t="str">
        <x:v>R8</x:v>
      </x:c>
      <x:c r="B23" s="10" t="str">
        <x:v>25.5k</x:v>
      </x:c>
      <x:c r="C23" s="10" t="str">
        <x:v>RC0603FR-0725K5L</x:v>
      </x:c>
      <x:c r="D23" s="19" t="n">
        <x:v>1</x:v>
      </x:c>
      <x:c r="E23" s="19" t="n">
        <x:f>D23*$B$4</x:f>
        <x:v>2</x:v>
      </x:c>
      <x:c r="F23" s="20" t="n">
        <x:v>10</x:v>
      </x:c>
      <x:c r="G23" s="19" t="n">
        <x:f>F23-E23</x:f>
        <x:v>8</x:v>
      </x:c>
      <x:c r="H23" s="10" t="str">
        <x:v>311-25.5KHRCT-ND</x:v>
      </x:c>
      <x:c r="I23" s="10" t="str">
        <x:v>YAGEO
Resistor_SMD:R_0603_1608Metric</x:v>
      </x:c>
      <x:c r="J23" s="10" t="str">
        <x:v>0603 (1608 metric); 0.1W; +/-1%; 75V maximum working voltage; -55..155C</x:v>
      </x:c>
      <x:c r="K23" s="10" t="str"/>
      <x:c r="L23" s="10" t="str"/>
      <x:c r="M23" s="10" t="str">
        <x:v>https://www.digikey.jp/en/products/detail/yageo/RC0603FR-0725K5L/727088</x:v>
      </x:c>
      <x:c r="N23" s="1"/>
      <x:c r="O23" s="1"/>
      <x:c r="P23" s="1"/>
      <x:c r="Q23" s="1"/>
    </x:row>
    <x:row r="24" ht="58" customHeight="1">
      <x:c r="A24" s="11" t="str">
        <x:v>R9</x:v>
      </x:c>
      <x:c r="B24" s="11" t="str">
        <x:v>2.74M</x:v>
      </x:c>
      <x:c r="C24" s="11" t="str">
        <x:v>RC0603FR-072M74L</x:v>
      </x:c>
      <x:c r="D24" s="21" t="n">
        <x:v>1</x:v>
      </x:c>
      <x:c r="E24" s="21" t="n">
        <x:f>D24*$B$4</x:f>
        <x:v>2</x:v>
      </x:c>
      <x:c r="F24" s="20" t="n">
        <x:v>10</x:v>
      </x:c>
      <x:c r="G24" s="21" t="n">
        <x:f>F24-E24</x:f>
        <x:v>8</x:v>
      </x:c>
      <x:c r="H24" s="11" t="str">
        <x:v>13-RC0603FR-072M74LCT-ND</x:v>
      </x:c>
      <x:c r="I24" s="11" t="str">
        <x:v>YAGEO
Resistor_SMD:R_0603_1608Metric</x:v>
      </x:c>
      <x:c r="J24" s="11" t="str">
        <x:v>0603; 2.74MOhm; +/-1%; 0.1W</x:v>
      </x:c>
      <x:c r="K24" s="11" t="str">
        <x:v>抵抗値変更</x:v>
      </x:c>
      <x:c r="L24" s="11" t="str"/>
      <x:c r="M24" s="11" t="str">
        <x:v>https://www.digikey.jp/en/products/detail/yageo/RC0603FR-072M74L/12707882</x:v>
      </x:c>
      <x:c r="N24" s="1"/>
      <x:c r="O24" s="1"/>
      <x:c r="P24" s="1"/>
      <x:c r="Q24" s="1"/>
    </x:row>
    <x:row r="25" ht="58" customHeight="1">
      <x:c r="A25" s="10" t="str">
        <x:v>R10, R13</x:v>
      </x:c>
      <x:c r="B25" s="10" t="str">
        <x:v>100k</x:v>
      </x:c>
      <x:c r="C25" s="10" t="str">
        <x:v>RC0603FR-07100KL</x:v>
      </x:c>
      <x:c r="D25" s="19" t="n">
        <x:v>2</x:v>
      </x:c>
      <x:c r="E25" s="19" t="n">
        <x:f>D25*$B$4</x:f>
        <x:v>4</x:v>
      </x:c>
      <x:c r="F25" s="20" t="n">
        <x:v>10</x:v>
      </x:c>
      <x:c r="G25" s="19" t="n">
        <x:f>F25-E25</x:f>
        <x:v>6</x:v>
      </x:c>
      <x:c r="H25" s="10" t="str">
        <x:v>311-100KHRCT-ND</x:v>
      </x:c>
      <x:c r="I25" s="10" t="str">
        <x:v>YAGEO
Resistor_SMD:R_0603_1608Metric</x:v>
      </x:c>
      <x:c r="J25" s="10" t="str">
        <x:v>0603 (1608 metric); 0.1W; +/-1%; 75V maximum working voltage; -55..155C</x:v>
      </x:c>
      <x:c r="K25" s="10" t="str"/>
      <x:c r="L25" s="10" t="str"/>
      <x:c r="M25" s="10" t="str">
        <x:v>https://www.digikey.jp/en/products/detail/yageo/RC0603FR-07100KL/726889</x:v>
      </x:c>
      <x:c r="N25" s="1"/>
      <x:c r="O25" s="1"/>
      <x:c r="P25" s="1"/>
      <x:c r="Q25" s="1"/>
    </x:row>
    <x:row r="26" ht="58" customHeight="1">
      <x:c r="A26" s="11" t="str">
        <x:v>R11, R12</x:v>
      </x:c>
      <x:c r="B26" s="11" t="str">
        <x:v>1M</x:v>
      </x:c>
      <x:c r="C26" s="11" t="str">
        <x:v>RC0603FR-071ML</x:v>
      </x:c>
      <x:c r="D26" s="21" t="n">
        <x:v>2</x:v>
      </x:c>
      <x:c r="E26" s="21" t="n">
        <x:f>D26*$B$4</x:f>
        <x:v>4</x:v>
      </x:c>
      <x:c r="F26" s="20" t="n">
        <x:v>10</x:v>
      </x:c>
      <x:c r="G26" s="21" t="n">
        <x:f>F26-E26</x:f>
        <x:v>6</x:v>
      </x:c>
      <x:c r="H26" s="11" t="str">
        <x:v>311-1.00MHRCT-ND</x:v>
      </x:c>
      <x:c r="I26" s="11" t="str">
        <x:v>YAGEO
Resistor_SMD:R_0603_1608Metric</x:v>
      </x:c>
      <x:c r="J26" s="11" t="str">
        <x:v>0603 (1608 metric); 0.1W; +/-1%; 75V maximum working voltage; -55..155C</x:v>
      </x:c>
      <x:c r="K26" s="11" t="str"/>
      <x:c r="L26" s="11" t="str"/>
      <x:c r="M26" s="11" t="str">
        <x:v>https://www.digikey.jp/en/products/detail/yageo/RC0603FR-071ML/726844</x:v>
      </x:c>
      <x:c r="N26" s="1"/>
      <x:c r="O26" s="1"/>
      <x:c r="P26" s="1"/>
      <x:c r="Q26" s="1"/>
    </x:row>
    <x:row r="27" ht="58" customHeight="1">
      <x:c r="A27" s="10" t="str">
        <x:v>R14</x:v>
      </x:c>
      <x:c r="B27" s="10" t="str">
        <x:v>10k</x:v>
      </x:c>
      <x:c r="C27" s="10" t="str">
        <x:v>ERJ-3EKF1002V</x:v>
      </x:c>
      <x:c r="D27" s="19" t="n">
        <x:v>1</x:v>
      </x:c>
      <x:c r="E27" s="19" t="n">
        <x:f>D27*$B$4</x:f>
        <x:v>2</x:v>
      </x:c>
      <x:c r="F27" s="20" t="n">
        <x:v>10</x:v>
      </x:c>
      <x:c r="G27" s="19" t="n">
        <x:f>F27-E27</x:f>
        <x:v>8</x:v>
      </x:c>
      <x:c r="H27" s="10" t="str">
        <x:v>P10.0KHCT-ND</x:v>
      </x:c>
      <x:c r="I27" s="10" t="str">
        <x:v>Panasonic Industry
Resistor_SMD:R_0603_1608Metric</x:v>
      </x:c>
      <x:c r="J27" s="10" t="str">
        <x:v>0603; 10kOhm; +/-1%; 0.1W</x:v>
      </x:c>
      <x:c r="K27" s="10" t="str">
        <x:v>誤登録の100kΩ品を修正</x:v>
      </x:c>
      <x:c r="L27" s="10" t="str"/>
      <x:c r="M27" s="10" t="str">
        <x:v>https://www.digikey.jp/en/products/detail/panasonic-industry/ERJ-3EKF1002V/198102</x:v>
      </x:c>
      <x:c r="N27" s="1"/>
      <x:c r="O27" s="1"/>
      <x:c r="P27" s="1"/>
      <x:c r="Q27" s="1"/>
    </x:row>
    <x:row r="28" ht="58" customHeight="1">
      <x:c r="A28" s="11" t="str">
        <x:v>R15</x:v>
      </x:c>
      <x:c r="B28" s="11" t="str">
        <x:v>2.37M</x:v>
      </x:c>
      <x:c r="C28" s="11" t="str">
        <x:v>RC0603FR-072M37L</x:v>
      </x:c>
      <x:c r="D28" s="21" t="n">
        <x:v>1</x:v>
      </x:c>
      <x:c r="E28" s="21" t="n">
        <x:f>D28*$B$4</x:f>
        <x:v>2</x:v>
      </x:c>
      <x:c r="F28" s="20" t="n">
        <x:v>10</x:v>
      </x:c>
      <x:c r="G28" s="21" t="n">
        <x:f>F28-E28</x:f>
        <x:v>8</x:v>
      </x:c>
      <x:c r="H28" s="11" t="str">
        <x:v>13-RC0603FR-072M37LCT-ND</x:v>
      </x:c>
      <x:c r="I28" s="11" t="str">
        <x:v>YAGEO
Resistor_SMD:R_0603_1608Metric</x:v>
      </x:c>
      <x:c r="J28" s="11" t="str">
        <x:v>0603; 2.37MOhm; +/-1%; 0.1W</x:v>
      </x:c>
      <x:c r="K28" s="11" t="str">
        <x:v>誤登録の100kΩ品を修正</x:v>
      </x:c>
      <x:c r="L28" s="11" t="str"/>
      <x:c r="M28" s="11" t="str">
        <x:v>https://www.digikey.jp/en/products/detail/yageo/RC0603FR-072M37L/5918308</x:v>
      </x:c>
      <x:c r="N28" s="1"/>
      <x:c r="O28" s="1"/>
      <x:c r="P28" s="1"/>
      <x:c r="Q28" s="1"/>
    </x:row>
    <x:row r="29" ht="58" customHeight="1">
      <x:c r="A29" s="10" t="str">
        <x:v>U1</x:v>
      </x:c>
      <x:c r="B29" s="10" t="str">
        <x:v>電源IC</x:v>
      </x:c>
      <x:c r="C29" s="10" t="str">
        <x:v>MAX38890AATE+</x:v>
      </x:c>
      <x:c r="D29" s="19" t="n">
        <x:v>1</x:v>
      </x:c>
      <x:c r="E29" s="19" t="n">
        <x:f>D29*$B$4</x:f>
        <x:v>2</x:v>
      </x:c>
      <x:c r="F29" s="20" t="n">
        <x:v>2</x:v>
      </x:c>
      <x:c r="G29" s="19" t="n">
        <x:f>F29-E29</x:f>
        <x:v>0</x:v>
      </x:c>
      <x:c r="H29" s="10" t="str">
        <x:v>505-MAX38890AATE+-ND</x:v>
      </x:c>
      <x:c r="I29" s="10" t="str">
        <x:v>Analog Devices / Maxim Integrated
logger_v2_ups:TQFN-16-1EP_3x3mm_P0.5mm_EP1.23x1.23mm</x:v>
      </x:c>
      <x:c r="J29" s="10" t="str">
        <x:v>VSYS 2.5..5.5V; peak inductor current 1..5A; -40..125C</x:v>
      </x:c>
      <x:c r="K29" s="10" t="str"/>
      <x:c r="L29" s="10" t="str"/>
      <x:c r="M29" s="10" t="str">
        <x:v>https://www.digikey.jp/ja/products/detail/analog-devices-inc-maxim-integrated/MAX38890AATE/18693138</x:v>
      </x:c>
      <x:c r="N29" s="1"/>
      <x:c r="O29" s="1"/>
      <x:c r="P29" s="1"/>
      <x:c r="Q29" s="1"/>
    </x:row>
    <x:row r="30" ht="58" customHeight="1">
      <x:c r="A30" s="11" t="str">
        <x:v>U2</x:v>
      </x:c>
      <x:c r="B30" s="11" t="str">
        <x:v>比較器</x:v>
      </x:c>
      <x:c r="C30" s="11" t="str">
        <x:v>LTC1440IMS8#TRPBF</x:v>
      </x:c>
      <x:c r="D30" s="21" t="n">
        <x:v>1</x:v>
      </x:c>
      <x:c r="E30" s="21" t="n">
        <x:f>D30*$B$4</x:f>
        <x:v>2</x:v>
      </x:c>
      <x:c r="F30" s="20" t="n">
        <x:v>2</x:v>
      </x:c>
      <x:c r="G30" s="21" t="n">
        <x:f>F30-E30</x:f>
        <x:v>0</x:v>
      </x:c>
      <x:c r="H30" s="11" t="str">
        <x:v>LTC1440IMS8#TRPBFCT-ND</x:v>
      </x:c>
      <x:c r="I30" s="11" t="str">
        <x:v>Analog Devices
Package_SO:MSOP-8_3x3mm_P0.65mm</x:v>
      </x:c>
      <x:c r="J30" s="11" t="str">
        <x:v>Comparator with 1.182V reference; MSOP-8 3x3mm P0.65mm; 2..11V supply</x:v>
      </x:c>
      <x:c r="K30" s="11" t="str">
        <x:v>DigiKey注文番号を補完</x:v>
      </x:c>
      <x:c r="L30" s="11" t="str"/>
      <x:c r="M30" s="11" t="str">
        <x:v>https://www.digikey.jp/en/products/detail/analog-devices-inc/LTC1440IMS8-TRPBF/1621572</x:v>
      </x:c>
      <x:c r="N30" s="1"/>
      <x:c r="O30" s="1"/>
      <x:c r="P30" s="1"/>
      <x:c r="Q30" s="1"/>
    </x:row>
    <x:row r="31">
      <x:c r="A31" s="24" t="str">
        <x:v>合計</x:v>
      </x:c>
      <x:c r="B31" s="24"/>
      <x:c r="C31" s="24"/>
      <x:c r="D31" s="25" t="n">
        <x:f>SUM(D9:D30)</x:f>
        <x:v>33</x:v>
      </x:c>
      <x:c r="E31" s="25" t="n">
        <x:f>SUM(E9:E30)</x:f>
        <x:v>66</x:v>
      </x:c>
      <x:c r="F31" s="26" t="n">
        <x:f>SUM(F9:F30)</x:f>
        <x:v>192</x:v>
      </x:c>
      <x:c r="G31" s="25" t="n">
        <x:f>SUM(G9:G30)</x:f>
        <x:v>126</x:v>
      </x:c>
      <x:c r="H31" s="24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 t="str">
        <x:v>CAP：Eaton 7F ×12個。基板1枚は2直列×3並列＝公称10.5F。保持時間は実機未確認。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</x:sheetData>
  <x:mergeCells>
    <x:mergeCell ref="A2:H2"/>
    <x:mergeCell ref="A3:H3"/>
    <x:mergeCell ref="C4:H4"/>
    <x:mergeCell ref="A5:H5"/>
    <x:mergeCell ref="A6:H6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9" hidden="0" customWidth="1"/>
    <x:col min="2" max="2" width="29" hidden="0" customWidth="1"/>
    <x:col min="3" max="3" width="30" hidden="0" customWidth="1"/>
    <x:col min="4" max="4" width="10" hidden="0" customWidth="1"/>
    <x:col min="5" max="5" width="10" hidden="0" customWidth="1"/>
    <x:col min="6" max="6" width="11" hidden="0" customWidth="1"/>
    <x:col min="7" max="7" width="12" hidden="0" customWidth="1"/>
    <x:col min="8" max="8" width="10" hidden="0" customWidth="1"/>
    <x:col min="9" max="9" width="10" hidden="0" customWidth="1"/>
    <x:col min="10" max="10" width="13" hidden="0" customWidth="1"/>
    <x:col min="11" max="11" width="13" hidden="0" customWidth="1"/>
    <x:col min="12" max="12" width="13" hidden="0" customWidth="1"/>
    <x:col min="13" max="13" width="55" hidden="0" customWidth="1"/>
    <x:col min="14" max="14" width="32" hidden="0" customWidth="1"/>
    <x:col min="15" max="15" width="5" hidden="0" customWidth="1"/>
    <x:col min="16" max="16" width="85" hidden="0" customWidth="1"/>
    <x:col min="17" max="17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UNO Q UPS｜秋月 買い物リスト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 t="str">
        <x:v>2セット分・5品種 / 必要14個 / 購入58個（8個＋2パック） / 税込550円・送料別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製作セット数</x:v>
      </x:c>
      <x:c r="B4" s="1" t="n">
        <x:v>2</x:v>
      </x:c>
      <x:c r="C4" s="1" t="str">
        <x:v>カートに入れる数はG列。F列は1個／1パックに含まれる部品数。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ピンソケットはメス・短足です。MOSFETは40個入り1袋、C5は10個入り1袋。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2026-10-16価格・在庫確認。C5は通販残2袋のため、売切時の代替を下に記載。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4" customHeight="1">
      <x:c r="A8" s="6" t="str">
        <x:v>部品番号</x:v>
      </x:c>
      <x:c r="B8" s="6" t="str">
        <x:v>商品</x:v>
      </x:c>
      <x:c r="C8" s="6" t="str">
        <x:v>購入メーカー型番</x:v>
      </x:c>
      <x:c r="D8" s="6" t="str">
        <x:v>販売コード</x:v>
      </x:c>
      <x:c r="E8" s="6" t="str">
        <x:v>必要数</x:v>
      </x:c>
      <x:c r="F8" s="6" t="str">
        <x:v>入数
個/単位</x:v>
      </x:c>
      <x:c r="G8" s="6" t="str">
        <x:v>注文
単位数</x:v>
      </x:c>
      <x:c r="H8" s="6" t="str">
        <x:v>購入個数</x:v>
      </x:c>
      <x:c r="I8" s="6" t="str">
        <x:v>余り</x:v>
      </x:c>
      <x:c r="J8" s="6" t="str">
        <x:v>単位価格
税込円</x:v>
      </x:c>
      <x:c r="K8" s="6" t="str">
        <x:v>小計
税込円</x:v>
      </x:c>
      <x:c r="L8" s="6" t="str">
        <x:v>販売単位</x:v>
      </x:c>
      <x:c r="M8" s="6" t="str">
        <x:v>置換仕様・備考</x:v>
      </x:c>
      <x:c r="N8" s="6" t="str">
        <x:v>現行設計MPN</x:v>
      </x:c>
      <x:c r="O8" s="6" t="str"/>
      <x:c r="P8" s="6" t="str">
        <x:v>購入ページ</x:v>
      </x:c>
      <x:c r="Q8" s="6" t="str">
        <x:v>寸法・ピン配置確認元</x:v>
      </x:c>
    </x:row>
    <x:row r="9" ht="82" customHeight="1">
      <x:c r="A9" s="10" t="str">
        <x:v>J1</x:v>
      </x:c>
      <x:c r="B9" s="10" t="str">
        <x:v>10P ピンソケット</x:v>
      </x:c>
      <x:c r="C9" s="10" t="str">
        <x:v>FH-1x10SG/RH</x:v>
      </x:c>
      <x:c r="D9" s="10" t="str">
        <x:v>103786</x:v>
      </x:c>
      <x:c r="E9" s="19" t="n">
        <x:f>1*$B$4</x:f>
        <x:v>2</x:v>
      </x:c>
      <x:c r="F9" s="19" t="n">
        <x:v>1</x:v>
      </x:c>
      <x:c r="G9" s="20" t="n">
        <x:v>2</x:v>
      </x:c>
      <x:c r="H9" s="19" t="n">
        <x:f>F9*G9</x:f>
        <x:v>2</x:v>
      </x:c>
      <x:c r="I9" s="19" t="n">
        <x:f>H9-E9</x:f>
        <x:v>0</x:v>
      </x:c>
      <x:c r="J9" s="32" t="n">
        <x:v>40</x:v>
      </x:c>
      <x:c r="K9" s="32" t="n">
        <x:f>G9*J9</x:f>
        <x:v>80</x:v>
      </x:c>
      <x:c r="L9" s="10" t="str">
        <x:v>個</x:v>
      </x:c>
      <x:c r="M9" s="10" t="str">
        <x:v>2.54mm、メス、短足。3A/接点。高さ8.5mm。</x:v>
      </x:c>
      <x:c r="N9" s="10" t="str">
        <x:v>SSW-110-01-T-S</x:v>
      </x:c>
      <x:c r="O9" s="10" t="str"/>
      <x:c r="P9" s="10" t="str">
        <x:v>https://akizukidenshi.com/catalog/g/g103786</x:v>
      </x:c>
      <x:c r="Q9" s="10" t="str">
        <x:v>https://akizukidenshi.com/goodsaffix/FH-1X00SGRH.pdf</x:v>
      </x:c>
    </x:row>
    <x:row r="10" ht="82" customHeight="1">
      <x:c r="A10" s="11" t="str">
        <x:v>J2, J4</x:v>
      </x:c>
      <x:c r="B10" s="11" t="str">
        <x:v>8P ピンソケット</x:v>
      </x:c>
      <x:c r="C10" s="11" t="str">
        <x:v>FH-1x8SG/RH</x:v>
      </x:c>
      <x:c r="D10" s="11" t="str">
        <x:v>103785</x:v>
      </x:c>
      <x:c r="E10" s="21" t="n">
        <x:f>2*$B$4</x:f>
        <x:v>4</x:v>
      </x:c>
      <x:c r="F10" s="21" t="n">
        <x:v>1</x:v>
      </x:c>
      <x:c r="G10" s="20" t="n">
        <x:v>4</x:v>
      </x:c>
      <x:c r="H10" s="21" t="n">
        <x:f>F10*G10</x:f>
        <x:v>4</x:v>
      </x:c>
      <x:c r="I10" s="21" t="n">
        <x:f>H10-E10</x:f>
        <x:v>0</x:v>
      </x:c>
      <x:c r="J10" s="33" t="n">
        <x:v>30</x:v>
      </x:c>
      <x:c r="K10" s="33" t="n">
        <x:f>G10*J10</x:f>
        <x:v>120</x:v>
      </x:c>
      <x:c r="L10" s="11" t="str">
        <x:v>個</x:v>
      </x:c>
      <x:c r="M10" s="11" t="str">
        <x:v>2.54mm、メス、短足。3A/接点。高さ8.5mm。</x:v>
      </x:c>
      <x:c r="N10" s="11" t="str">
        <x:v>SSW-108-01-T-S</x:v>
      </x:c>
      <x:c r="O10" s="11" t="str"/>
      <x:c r="P10" s="11" t="str">
        <x:v>https://akizukidenshi.com/catalog/g/g103785</x:v>
      </x:c>
      <x:c r="Q10" s="11" t="str">
        <x:v>https://akizukidenshi.com/goodsaffix/FH-1X00SGRH.pdf</x:v>
      </x:c>
    </x:row>
    <x:row r="11" ht="82" customHeight="1">
      <x:c r="A11" s="10" t="str">
        <x:v>J3</x:v>
      </x:c>
      <x:c r="B11" s="10" t="str">
        <x:v>6P ピンソケット</x:v>
      </x:c>
      <x:c r="C11" s="10" t="str">
        <x:v>FH-1x6SG/RH</x:v>
      </x:c>
      <x:c r="D11" s="10" t="str">
        <x:v>103784</x:v>
      </x:c>
      <x:c r="E11" s="19" t="n">
        <x:f>1*$B$4</x:f>
        <x:v>2</x:v>
      </x:c>
      <x:c r="F11" s="19" t="n">
        <x:v>1</x:v>
      </x:c>
      <x:c r="G11" s="20" t="n">
        <x:v>2</x:v>
      </x:c>
      <x:c r="H11" s="19" t="n">
        <x:f>F11*G11</x:f>
        <x:v>2</x:v>
      </x:c>
      <x:c r="I11" s="19" t="n">
        <x:f>H11-E11</x:f>
        <x:v>0</x:v>
      </x:c>
      <x:c r="J11" s="32" t="n">
        <x:v>25</x:v>
      </x:c>
      <x:c r="K11" s="32" t="n">
        <x:f>G11*J11</x:f>
        <x:v>50</x:v>
      </x:c>
      <x:c r="L11" s="10" t="str">
        <x:v>個</x:v>
      </x:c>
      <x:c r="M11" s="10" t="str">
        <x:v>2.54mm、メス、短足。3A/接点。高さ8.5mm。</x:v>
      </x:c>
      <x:c r="N11" s="10" t="str">
        <x:v>SSW-106-01-T-S</x:v>
      </x:c>
      <x:c r="O11" s="10" t="str"/>
      <x:c r="P11" s="10" t="str">
        <x:v>https://akizukidenshi.com/catalog/g/g103784</x:v>
      </x:c>
      <x:c r="Q11" s="10" t="str">
        <x:v>https://akizukidenshi.com/goodsaffix/FH-1X00SGRH.pdf</x:v>
      </x:c>
    </x:row>
    <x:row r="12" ht="82" customHeight="1">
      <x:c r="A12" s="11" t="str">
        <x:v>Q1, Q2</x:v>
      </x:c>
      <x:c r="B12" s="11" t="str">
        <x:v>Nch MOSFET</x:v>
      </x:c>
      <x:c r="C12" s="11" t="str">
        <x:v>2N7002K</x:v>
      </x:c>
      <x:c r="D12" s="11" t="str">
        <x:v>104256</x:v>
      </x:c>
      <x:c r="E12" s="21" t="n">
        <x:f>2*$B$4</x:f>
        <x:v>4</x:v>
      </x:c>
      <x:c r="F12" s="21" t="n">
        <x:v>40</x:v>
      </x:c>
      <x:c r="G12" s="20" t="n">
        <x:v>1</x:v>
      </x:c>
      <x:c r="H12" s="21" t="n">
        <x:f>F12*G12</x:f>
        <x:v>40</x:v>
      </x:c>
      <x:c r="I12" s="21" t="n">
        <x:f>H12-E12</x:f>
        <x:v>36</x:v>
      </x:c>
      <x:c r="J12" s="33" t="n">
        <x:v>200</x:v>
      </x:c>
      <x:c r="K12" s="33" t="n">
        <x:f>G12*J12</x:f>
        <x:v>200</x:v>
      </x:c>
      <x:c r="L12" s="11" t="str">
        <x:v>パック</x:v>
      </x:c>
      <x:c r="M12" s="11" t="str">
        <x:v>SOT-23、1=G/2=S/3=D。60V/300mA。制御用の置換品。</x:v>
      </x:c>
      <x:c r="N12" s="11" t="str">
        <x:v>2N7002K-7-W</x:v>
      </x:c>
      <x:c r="O12" s="11" t="str"/>
      <x:c r="P12" s="11" t="str">
        <x:v>https://akizukidenshi.com/catalog/g/g104256</x:v>
      </x:c>
      <x:c r="Q12" s="11" t="str">
        <x:v>https://akizukidenshi.com/goodsaffix/2N7002K.pdf</x:v>
      </x:c>
    </x:row>
    <x:row r="13" ht="82" customHeight="1">
      <x:c r="A13" s="10" t="str">
        <x:v>C5</x:v>
      </x:c>
      <x:c r="B13" s="10" t="str">
        <x:v>1µF 50V X7R</x:v>
      </x:c>
      <x:c r="C13" s="10" t="str">
        <x:v>C2012X7R1H105KT000N</x:v>
      </x:c>
      <x:c r="D13" s="10" t="str">
        <x:v>115331</x:v>
      </x:c>
      <x:c r="E13" s="19" t="n">
        <x:f>1*$B$4</x:f>
        <x:v>2</x:v>
      </x:c>
      <x:c r="F13" s="19" t="n">
        <x:v>10</x:v>
      </x:c>
      <x:c r="G13" s="20" t="n">
        <x:v>1</x:v>
      </x:c>
      <x:c r="H13" s="19" t="n">
        <x:f>F13*G13</x:f>
        <x:v>10</x:v>
      </x:c>
      <x:c r="I13" s="19" t="n">
        <x:f>H13-E13</x:f>
        <x:v>8</x:v>
      </x:c>
      <x:c r="J13" s="32" t="n">
        <x:v>100</x:v>
      </x:c>
      <x:c r="K13" s="32" t="n">
        <x:f>G13*J13</x:f>
        <x:v>100</x:v>
      </x:c>
      <x:c r="L13" s="10" t="str">
        <x:v>パック</x:v>
      </x:c>
      <x:c r="M13" s="10" t="str">
        <x:v>0805(2012)、±10%。在庫限り・通販残2パック（確認時）。</x:v>
      </x:c>
      <x:c r="N13" s="10" t="str">
        <x:v>C0805C105K5RACTU</x:v>
      </x:c>
      <x:c r="O13" s="10" t="str"/>
      <x:c r="P13" s="10" t="str">
        <x:v>https://akizukidenshi.com/catalog/g/g115331</x:v>
      </x:c>
      <x:c r="Q13" s="10" t="str">
        <x:v>https://akizukidenshi.com/catalog/g/g115331</x:v>
      </x:c>
    </x:row>
    <x:row r="14">
      <x:c r="A14" s="24" t="str">
        <x:v>合計</x:v>
      </x:c>
      <x:c r="B14" s="24"/>
      <x:c r="C14" s="24"/>
      <x:c r="D14" s="24"/>
      <x:c r="E14" s="25" t="n">
        <x:f>SUM(E9:E13)</x:f>
        <x:v>14</x:v>
      </x:c>
      <x:c r="F14" s="25"/>
      <x:c r="G14" s="25"/>
      <x:c r="H14" s="25" t="n">
        <x:f>SUM(H9:H13)</x:f>
        <x:v>58</x:v>
      </x:c>
      <x:c r="I14" s="25" t="n">
        <x:f>SUM(I9:I13)</x:f>
        <x:v>44</x:v>
      </x:c>
      <x:c r="J14" s="34"/>
      <x:c r="K14" s="34" t="n">
        <x:f>SUM(K9:K13)</x:f>
        <x:v>550</x:v>
      </x:c>
      <x:c r="L14" s="24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30" customHeight="1">
      <x:c r="A17" s="8" t="str">
        <x:v>購入代替品はN列の現行設計MPNと区別して記載。今回の分割では回路図・PCBファイルを変更していません。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1"/>
      <x:c r="N17" s="1"/>
      <x:c r="O17" s="1"/>
      <x:c r="P17" s="1"/>
      <x:c r="Q17" s="1"/>
    </x:row>
    <x:row r="18" ht="30" customHeight="1">
      <x:c r="A18" s="8" t="str">
        <x:v>ソケット：P2.54mm、既存穴1.0mmに対し推奨穴1.02±0.05mm。最大外形は既存コートヤード内。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1"/>
      <x:c r="N18" s="1"/>
      <x:c r="O18" s="1"/>
      <x:c r="P18" s="1"/>
      <x:c r="Q18" s="1"/>
    </x:row>
    <x:row r="19" ht="30" customHeight="1">
      <x:c r="A19" s="8" t="str">
        <x:v>接点定格は旧Samtec 4.7Aから3Aへ。現在の制御用MOSFETは同じピン配置・SOT-23で置換。実機動作は未確認。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1"/>
      <x:c r="N19" s="1"/>
      <x:c r="O19" s="1"/>
      <x:c r="P19" s="1"/>
      <x:c r="Q19" s="1"/>
    </x:row>
    <x:row r="20" ht="30" customHeight="1">
      <x:c r="A20" s="8" t="str">
        <x:v>C5売切時：DigiKey 399-C0805C105K5RACTUCT-ND / KEMET C0805C105K5RACTU を10個追加。重複購入不要。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1"/>
      <x:c r="N20" s="1"/>
      <x:c r="O20" s="1"/>
      <x:c r="P20" s="1"/>
      <x:c r="Q20" s="1"/>
    </x:row>
    <x:row r="21" ht="30" customHeight="1">
      <x:c r="A21" s="8" t="str">
        <x:v>スーパーキャパシタはDigiKeyのEaton 7Fを継続。小型抵抗・他のMLCCは値／サイズ／特性を維持して各10個。</x:v>
      </x:c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1"/>
      <x:c r="N21" s="1"/>
      <x:c r="O21" s="1"/>
      <x:c r="P21" s="1"/>
      <x:c r="Q21" s="1"/>
    </x:row>
    <x:row r="22" ht="30" customHeight="1">
      <x:c r="A22" s="8" t="str">
        <x:v>この表は基板実装部品40点×2セットを対象。基板製造、UNO Q本体、配線材・取付ねじ等は含みません。</x:v>
      </x:c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</x:sheetData>
  <x:mergeCells>
    <x:mergeCell ref="A2:L2"/>
    <x:mergeCell ref="A3:L3"/>
    <x:mergeCell ref="C4:L4"/>
    <x:mergeCell ref="A5:L5"/>
    <x:mergeCell ref="A6:L6"/>
    <x:mergeCell ref="A17:L17"/>
    <x:mergeCell ref="A18:L18"/>
    <x:mergeCell ref="A19:L19"/>
    <x:mergeCell ref="A20:L20"/>
    <x:mergeCell ref="A21:L21"/>
    <x:mergeCell ref="A22:L22"/>
  </x:mergeCells>
  <x:pageMargins left="0.7" right="0.7" top="0.75" bottom="0.75" header="0.3" footer="0.3"/>
</x:worksheet>
</file>